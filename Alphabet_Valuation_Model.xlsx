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nathaniel/Desktop/Forage/"/>
    </mc:Choice>
  </mc:AlternateContent>
  <xr:revisionPtr revIDLastSave="0" documentId="8_{B043671D-BAC7-2043-AF0F-7B2C8A00E785}" xr6:coauthVersionLast="47" xr6:coauthVersionMax="47" xr10:uidLastSave="{00000000-0000-0000-0000-000000000000}"/>
  <bookViews>
    <workbookView xWindow="15840" yWindow="780" windowWidth="18360" windowHeight="19760" xr2:uid="{00000000-000D-0000-FFFF-FFFF00000000}"/>
  </bookViews>
  <sheets>
    <sheet name="Cover" sheetId="1" r:id="rId1"/>
    <sheet name="Assumptions" sheetId="2" r:id="rId2"/>
    <sheet name="Income Statement" sheetId="3" r:id="rId3"/>
    <sheet name="Balance Sheet" sheetId="4" r:id="rId4"/>
    <sheet name="Cash Flow Statement" sheetId="5" r:id="rId5"/>
    <sheet name="Supporting Schedules" sheetId="6" r:id="rId6"/>
    <sheet name="DCF Valuation" sheetId="7" r:id="rId7"/>
    <sheet name="Sensitivity Analysi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8" l="1"/>
  <c r="E5" i="8"/>
  <c r="D5" i="8"/>
  <c r="C5" i="8"/>
  <c r="C61" i="7"/>
  <c r="C59" i="7"/>
  <c r="C54" i="7"/>
  <c r="C36" i="7"/>
  <c r="J27" i="7"/>
  <c r="C17" i="8" s="1"/>
  <c r="J25" i="7"/>
  <c r="J15" i="7"/>
  <c r="J14" i="7"/>
  <c r="J11" i="7"/>
  <c r="J12" i="7" s="1"/>
  <c r="J8" i="7"/>
  <c r="H46" i="6"/>
  <c r="G46" i="6"/>
  <c r="F46" i="6"/>
  <c r="E46" i="6"/>
  <c r="D46" i="6"/>
  <c r="H44" i="6"/>
  <c r="G44" i="6"/>
  <c r="F44" i="6"/>
  <c r="E44" i="6"/>
  <c r="D44" i="6"/>
  <c r="C44" i="6"/>
  <c r="C38" i="6"/>
  <c r="C36" i="6"/>
  <c r="C35" i="6"/>
  <c r="H26" i="6"/>
  <c r="G26" i="6"/>
  <c r="F26" i="6"/>
  <c r="E26" i="6"/>
  <c r="D26" i="6"/>
  <c r="C25" i="6"/>
  <c r="H21" i="6"/>
  <c r="G21" i="6"/>
  <c r="F21" i="6"/>
  <c r="E21" i="6"/>
  <c r="D21" i="6"/>
  <c r="C20" i="6"/>
  <c r="H16" i="6"/>
  <c r="G16" i="6"/>
  <c r="F16" i="6"/>
  <c r="E16" i="6"/>
  <c r="D16" i="6"/>
  <c r="C15" i="6"/>
  <c r="C8" i="6"/>
  <c r="C7" i="6"/>
  <c r="D6" i="6"/>
  <c r="C6" i="6"/>
  <c r="C10" i="6" s="1"/>
  <c r="F54" i="5"/>
  <c r="E48" i="5"/>
  <c r="D48" i="5"/>
  <c r="C48" i="5"/>
  <c r="F45" i="5"/>
  <c r="E37" i="5"/>
  <c r="D37" i="5"/>
  <c r="C37" i="5"/>
  <c r="F25" i="5"/>
  <c r="F23" i="5"/>
  <c r="F22" i="5"/>
  <c r="F19" i="5"/>
  <c r="G14" i="5"/>
  <c r="H14" i="5" s="1"/>
  <c r="I14" i="5" s="1"/>
  <c r="J14" i="5" s="1"/>
  <c r="G13" i="5"/>
  <c r="H13" i="5" s="1"/>
  <c r="I13" i="5" s="1"/>
  <c r="J13" i="5" s="1"/>
  <c r="G12" i="5"/>
  <c r="H12" i="5" s="1"/>
  <c r="I12" i="5" s="1"/>
  <c r="J12" i="5" s="1"/>
  <c r="E62" i="4"/>
  <c r="D62" i="4"/>
  <c r="C62" i="4"/>
  <c r="F60" i="4"/>
  <c r="G60" i="4" s="1"/>
  <c r="H60" i="4" s="1"/>
  <c r="I60" i="4" s="1"/>
  <c r="J60" i="4" s="1"/>
  <c r="F58" i="4"/>
  <c r="E53" i="4"/>
  <c r="D53" i="4"/>
  <c r="C53" i="4"/>
  <c r="F51" i="4"/>
  <c r="G51" i="4" s="1"/>
  <c r="F50" i="4"/>
  <c r="G50" i="4" s="1"/>
  <c r="H50" i="4" s="1"/>
  <c r="I50" i="4" s="1"/>
  <c r="J50" i="4" s="1"/>
  <c r="F49" i="4"/>
  <c r="G49" i="4" s="1"/>
  <c r="H49" i="4" s="1"/>
  <c r="I49" i="4" s="1"/>
  <c r="J49" i="4" s="1"/>
  <c r="F48" i="4"/>
  <c r="G48" i="4" s="1"/>
  <c r="H48" i="4" s="1"/>
  <c r="I48" i="4" s="1"/>
  <c r="J48" i="4" s="1"/>
  <c r="F47" i="4"/>
  <c r="G47" i="4" s="1"/>
  <c r="H47" i="4" s="1"/>
  <c r="I47" i="4" s="1"/>
  <c r="J47" i="4" s="1"/>
  <c r="F46" i="4"/>
  <c r="E43" i="4"/>
  <c r="E55" i="4" s="1"/>
  <c r="E64" i="4" s="1"/>
  <c r="D43" i="4"/>
  <c r="D55" i="4" s="1"/>
  <c r="D64" i="4" s="1"/>
  <c r="C43" i="4"/>
  <c r="C55" i="4" s="1"/>
  <c r="C64" i="4" s="1"/>
  <c r="F41" i="4"/>
  <c r="F40" i="4"/>
  <c r="G40" i="4" s="1"/>
  <c r="F39" i="4"/>
  <c r="G39" i="4" s="1"/>
  <c r="F38" i="4"/>
  <c r="G38" i="4" s="1"/>
  <c r="H38" i="4" s="1"/>
  <c r="I38" i="4" s="1"/>
  <c r="J38" i="4" s="1"/>
  <c r="F37" i="4"/>
  <c r="G37" i="4" s="1"/>
  <c r="H37" i="4" s="1"/>
  <c r="I37" i="4" s="1"/>
  <c r="J37" i="4" s="1"/>
  <c r="F36" i="4"/>
  <c r="G36" i="4" s="1"/>
  <c r="H36" i="4" s="1"/>
  <c r="I36" i="4" s="1"/>
  <c r="J36" i="4" s="1"/>
  <c r="E28" i="4"/>
  <c r="D28" i="4"/>
  <c r="C28" i="4"/>
  <c r="F26" i="4"/>
  <c r="F25" i="4"/>
  <c r="G25" i="4" s="1"/>
  <c r="H25" i="4" s="1"/>
  <c r="I25" i="4" s="1"/>
  <c r="J25" i="4" s="1"/>
  <c r="F24" i="4"/>
  <c r="G24" i="4" s="1"/>
  <c r="H24" i="4" s="1"/>
  <c r="I24" i="4" s="1"/>
  <c r="J24" i="4" s="1"/>
  <c r="F23" i="4"/>
  <c r="G23" i="4" s="1"/>
  <c r="H23" i="4" s="1"/>
  <c r="I23" i="4" s="1"/>
  <c r="J23" i="4" s="1"/>
  <c r="F22" i="4"/>
  <c r="G22" i="4" s="1"/>
  <c r="H22" i="4" s="1"/>
  <c r="I22" i="4" s="1"/>
  <c r="J22" i="4" s="1"/>
  <c r="F16" i="4"/>
  <c r="G16" i="4" s="1"/>
  <c r="E13" i="4"/>
  <c r="E18" i="4" s="1"/>
  <c r="E30" i="4" s="1"/>
  <c r="E66" i="4" s="1"/>
  <c r="D13" i="4"/>
  <c r="D18" i="4" s="1"/>
  <c r="D30" i="4" s="1"/>
  <c r="C13" i="4"/>
  <c r="C18" i="4" s="1"/>
  <c r="C30" i="4" s="1"/>
  <c r="F44" i="3"/>
  <c r="G44" i="3" s="1"/>
  <c r="H44" i="3" s="1"/>
  <c r="I44" i="3" s="1"/>
  <c r="J44" i="3" s="1"/>
  <c r="F43" i="3"/>
  <c r="G43" i="3" s="1"/>
  <c r="H43" i="3" s="1"/>
  <c r="I43" i="3" s="1"/>
  <c r="J43" i="3" s="1"/>
  <c r="E26" i="3"/>
  <c r="D26" i="3"/>
  <c r="C26" i="3"/>
  <c r="E17" i="3"/>
  <c r="D17" i="3"/>
  <c r="C17" i="3"/>
  <c r="E11" i="3"/>
  <c r="D11" i="3"/>
  <c r="D19" i="3" s="1"/>
  <c r="C11" i="3"/>
  <c r="C19" i="3" s="1"/>
  <c r="C28" i="3" s="1"/>
  <c r="C32" i="3" s="1"/>
  <c r="C36" i="3" s="1"/>
  <c r="F9" i="3"/>
  <c r="G9" i="3" s="1"/>
  <c r="H9" i="3" s="1"/>
  <c r="I9" i="3" s="1"/>
  <c r="J9" i="3" s="1"/>
  <c r="F8" i="3"/>
  <c r="D29" i="2"/>
  <c r="C29" i="2"/>
  <c r="D26" i="2"/>
  <c r="C26" i="2"/>
  <c r="D25" i="2"/>
  <c r="C25" i="2"/>
  <c r="D24" i="2"/>
  <c r="C24" i="2"/>
  <c r="D21" i="2"/>
  <c r="C21" i="2"/>
  <c r="D20" i="2"/>
  <c r="C20" i="2"/>
  <c r="D19" i="2"/>
  <c r="C19" i="2"/>
  <c r="D14" i="2"/>
  <c r="C14" i="2"/>
  <c r="D13" i="2"/>
  <c r="C13" i="2"/>
  <c r="D12" i="2"/>
  <c r="C12" i="2"/>
  <c r="D8" i="2"/>
  <c r="C8" i="2"/>
  <c r="G5" i="8" l="1"/>
  <c r="F5" i="8"/>
  <c r="C55" i="7"/>
  <c r="J16" i="7"/>
  <c r="C39" i="6"/>
  <c r="C40" i="6" s="1"/>
  <c r="D35" i="6" s="1"/>
  <c r="C26" i="6"/>
  <c r="C27" i="6" s="1"/>
  <c r="C21" i="6"/>
  <c r="C22" i="6"/>
  <c r="C16" i="6"/>
  <c r="C17" i="6" s="1"/>
  <c r="C29" i="6" s="1"/>
  <c r="G45" i="5"/>
  <c r="F48" i="5"/>
  <c r="G58" i="4"/>
  <c r="H51" i="4"/>
  <c r="G25" i="5"/>
  <c r="F53" i="4"/>
  <c r="G46" i="4"/>
  <c r="F24" i="5"/>
  <c r="G41" i="4"/>
  <c r="H40" i="4"/>
  <c r="G22" i="5"/>
  <c r="H39" i="4"/>
  <c r="G23" i="5"/>
  <c r="G26" i="4"/>
  <c r="F20" i="5"/>
  <c r="H16" i="4"/>
  <c r="G19" i="5"/>
  <c r="C45" i="6"/>
  <c r="E19" i="3"/>
  <c r="D28" i="3"/>
  <c r="C11" i="2"/>
  <c r="C39" i="3"/>
  <c r="C40" i="3"/>
  <c r="C6" i="5"/>
  <c r="C27" i="5" s="1"/>
  <c r="C52" i="5" s="1"/>
  <c r="C56" i="5" s="1"/>
  <c r="F11" i="3"/>
  <c r="G8" i="3"/>
  <c r="D66" i="4"/>
  <c r="C66" i="4"/>
  <c r="H45" i="5" l="1"/>
  <c r="G48" i="5"/>
  <c r="H58" i="4"/>
  <c r="I51" i="4"/>
  <c r="H25" i="5"/>
  <c r="H46" i="4"/>
  <c r="G53" i="4"/>
  <c r="H41" i="4"/>
  <c r="G24" i="5"/>
  <c r="I40" i="4"/>
  <c r="H22" i="5"/>
  <c r="I39" i="4"/>
  <c r="H23" i="5"/>
  <c r="H26" i="4"/>
  <c r="G20" i="5"/>
  <c r="I16" i="4"/>
  <c r="H19" i="5"/>
  <c r="C46" i="6"/>
  <c r="C47" i="6"/>
  <c r="E28" i="3"/>
  <c r="D11" i="2"/>
  <c r="D32" i="3"/>
  <c r="C15" i="2"/>
  <c r="F19" i="3"/>
  <c r="F17" i="3" s="1"/>
  <c r="F22" i="3"/>
  <c r="F23" i="3"/>
  <c r="F24" i="3"/>
  <c r="F14" i="4"/>
  <c r="F17" i="5" s="1"/>
  <c r="F15" i="4"/>
  <c r="F18" i="5" s="1"/>
  <c r="F35" i="4"/>
  <c r="F11" i="5"/>
  <c r="F30" i="5"/>
  <c r="F32" i="5"/>
  <c r="D15" i="6"/>
  <c r="D17" i="6" s="1"/>
  <c r="D45" i="6"/>
  <c r="D47" i="6" s="1"/>
  <c r="C6" i="7"/>
  <c r="D25" i="6"/>
  <c r="D27" i="6" s="1"/>
  <c r="C7" i="7"/>
  <c r="D20" i="6"/>
  <c r="D22" i="6" s="1"/>
  <c r="H8" i="3"/>
  <c r="G11" i="3"/>
  <c r="J18" i="7"/>
  <c r="J17" i="7"/>
  <c r="J21" i="7" s="1"/>
  <c r="I45" i="5" l="1"/>
  <c r="H48" i="5"/>
  <c r="I58" i="4"/>
  <c r="J51" i="4"/>
  <c r="J25" i="5" s="1"/>
  <c r="I25" i="5"/>
  <c r="I46" i="4"/>
  <c r="H53" i="4"/>
  <c r="I41" i="4"/>
  <c r="H24" i="5"/>
  <c r="J40" i="4"/>
  <c r="J22" i="5" s="1"/>
  <c r="I22" i="5"/>
  <c r="J39" i="4"/>
  <c r="J23" i="5" s="1"/>
  <c r="I23" i="5"/>
  <c r="I26" i="4"/>
  <c r="H20" i="5"/>
  <c r="J16" i="4"/>
  <c r="J19" i="5" s="1"/>
  <c r="I19" i="5"/>
  <c r="E32" i="3"/>
  <c r="D15" i="2"/>
  <c r="D36" i="3"/>
  <c r="C16" i="2"/>
  <c r="F43" i="4"/>
  <c r="F55" i="4" s="1"/>
  <c r="F21" i="5"/>
  <c r="C16" i="7"/>
  <c r="D8" i="6"/>
  <c r="F37" i="5"/>
  <c r="C17" i="7"/>
  <c r="D7" i="6"/>
  <c r="D10" i="6" s="1"/>
  <c r="F21" i="4"/>
  <c r="D36" i="6"/>
  <c r="D40" i="6" s="1"/>
  <c r="E35" i="6" s="1"/>
  <c r="F11" i="4"/>
  <c r="I8" i="3"/>
  <c r="H11" i="3"/>
  <c r="G19" i="3"/>
  <c r="G17" i="3" s="1"/>
  <c r="G22" i="3"/>
  <c r="G23" i="3"/>
  <c r="G24" i="3"/>
  <c r="G14" i="4"/>
  <c r="G17" i="5" s="1"/>
  <c r="G15" i="4"/>
  <c r="G18" i="5" s="1"/>
  <c r="E15" i="6"/>
  <c r="E17" i="6" s="1"/>
  <c r="G35" i="4"/>
  <c r="E20" i="6"/>
  <c r="E22" i="6" s="1"/>
  <c r="G11" i="5"/>
  <c r="G30" i="5"/>
  <c r="G32" i="5"/>
  <c r="E36" i="6" s="1"/>
  <c r="E45" i="6"/>
  <c r="E47" i="6" s="1"/>
  <c r="E25" i="6"/>
  <c r="E27" i="6" s="1"/>
  <c r="D6" i="7"/>
  <c r="D7" i="7"/>
  <c r="C14" i="8"/>
  <c r="B8" i="8"/>
  <c r="C38" i="7"/>
  <c r="G28" i="7"/>
  <c r="C42" i="7" s="1"/>
  <c r="F28" i="7"/>
  <c r="E28" i="7"/>
  <c r="D28" i="7"/>
  <c r="C28" i="7"/>
  <c r="F26" i="3"/>
  <c r="F28" i="3" s="1"/>
  <c r="D29" i="6"/>
  <c r="D30" i="6" s="1"/>
  <c r="C18" i="7" s="1"/>
  <c r="J45" i="5" l="1"/>
  <c r="J48" i="5" s="1"/>
  <c r="I48" i="5"/>
  <c r="J58" i="4"/>
  <c r="J46" i="4"/>
  <c r="J53" i="4" s="1"/>
  <c r="I53" i="4"/>
  <c r="J41" i="4"/>
  <c r="J24" i="5" s="1"/>
  <c r="I24" i="5"/>
  <c r="J26" i="4"/>
  <c r="J20" i="5" s="1"/>
  <c r="I20" i="5"/>
  <c r="E36" i="3"/>
  <c r="D16" i="2"/>
  <c r="D39" i="3"/>
  <c r="D40" i="3"/>
  <c r="D6" i="5"/>
  <c r="D27" i="5" s="1"/>
  <c r="D52" i="5" s="1"/>
  <c r="D56" i="5" s="1"/>
  <c r="G21" i="4"/>
  <c r="F28" i="4"/>
  <c r="E6" i="6"/>
  <c r="J8" i="3"/>
  <c r="J11" i="3" s="1"/>
  <c r="I11" i="3"/>
  <c r="H19" i="3"/>
  <c r="H17" i="3" s="1"/>
  <c r="H22" i="3"/>
  <c r="H23" i="3"/>
  <c r="H24" i="3"/>
  <c r="H14" i="4"/>
  <c r="H17" i="5" s="1"/>
  <c r="H15" i="4"/>
  <c r="H18" i="5" s="1"/>
  <c r="H35" i="4"/>
  <c r="F20" i="6"/>
  <c r="F22" i="6" s="1"/>
  <c r="H11" i="5"/>
  <c r="H30" i="5"/>
  <c r="H32" i="5"/>
  <c r="F36" i="6" s="1"/>
  <c r="F45" i="6"/>
  <c r="F47" i="6" s="1"/>
  <c r="F25" i="6"/>
  <c r="F27" i="6" s="1"/>
  <c r="E6" i="7"/>
  <c r="E7" i="7"/>
  <c r="F15" i="6"/>
  <c r="F17" i="6" s="1"/>
  <c r="F29" i="6" s="1"/>
  <c r="G43" i="4"/>
  <c r="G55" i="4" s="1"/>
  <c r="G21" i="5"/>
  <c r="D16" i="7"/>
  <c r="E8" i="6"/>
  <c r="G37" i="5"/>
  <c r="D17" i="7"/>
  <c r="E7" i="6"/>
  <c r="B9" i="8"/>
  <c r="B10" i="8"/>
  <c r="B6" i="8"/>
  <c r="B7" i="8"/>
  <c r="C12" i="7"/>
  <c r="C10" i="7"/>
  <c r="C9" i="7"/>
  <c r="C14" i="7" s="1"/>
  <c r="C20" i="7" s="1"/>
  <c r="C27" i="7" s="1"/>
  <c r="E15" i="2"/>
  <c r="F32" i="3"/>
  <c r="E40" i="6"/>
  <c r="F35" i="6" s="1"/>
  <c r="F40" i="6" s="1"/>
  <c r="G35" i="6" s="1"/>
  <c r="G11" i="4"/>
  <c r="H11" i="4" s="1"/>
  <c r="G26" i="3"/>
  <c r="G28" i="3" s="1"/>
  <c r="E29" i="6"/>
  <c r="E30" i="6" s="1"/>
  <c r="D18" i="7" s="1"/>
  <c r="E39" i="3" l="1"/>
  <c r="E40" i="3"/>
  <c r="E6" i="5"/>
  <c r="E27" i="5" s="1"/>
  <c r="E52" i="5" s="1"/>
  <c r="E56" i="5" s="1"/>
  <c r="H21" i="4"/>
  <c r="F6" i="6"/>
  <c r="G28" i="4"/>
  <c r="J19" i="3"/>
  <c r="J17" i="3" s="1"/>
  <c r="J22" i="3"/>
  <c r="J23" i="3"/>
  <c r="J24" i="3"/>
  <c r="J14" i="4"/>
  <c r="J15" i="4"/>
  <c r="H20" i="6"/>
  <c r="H22" i="6" s="1"/>
  <c r="J35" i="4"/>
  <c r="J11" i="5"/>
  <c r="J30" i="5"/>
  <c r="J32" i="5"/>
  <c r="H36" i="6" s="1"/>
  <c r="H45" i="6"/>
  <c r="H47" i="6" s="1"/>
  <c r="H25" i="6"/>
  <c r="H27" i="6" s="1"/>
  <c r="G6" i="7"/>
  <c r="G7" i="7"/>
  <c r="H15" i="6"/>
  <c r="H17" i="6" s="1"/>
  <c r="H29" i="6" s="1"/>
  <c r="I19" i="3"/>
  <c r="I17" i="3" s="1"/>
  <c r="I22" i="3"/>
  <c r="I23" i="3"/>
  <c r="I24" i="3"/>
  <c r="I14" i="4"/>
  <c r="I17" i="5" s="1"/>
  <c r="I15" i="4"/>
  <c r="I18" i="5" s="1"/>
  <c r="I35" i="4"/>
  <c r="I11" i="5"/>
  <c r="I30" i="5"/>
  <c r="I32" i="5"/>
  <c r="G45" i="6"/>
  <c r="G47" i="6" s="1"/>
  <c r="G25" i="6"/>
  <c r="G27" i="6" s="1"/>
  <c r="F6" i="7"/>
  <c r="F7" i="7"/>
  <c r="G15" i="6"/>
  <c r="G17" i="6" s="1"/>
  <c r="G29" i="6" s="1"/>
  <c r="G30" i="6" s="1"/>
  <c r="F18" i="7" s="1"/>
  <c r="G20" i="6"/>
  <c r="G22" i="6" s="1"/>
  <c r="H43" i="4"/>
  <c r="H55" i="4" s="1"/>
  <c r="H21" i="5"/>
  <c r="E16" i="7"/>
  <c r="F8" i="6"/>
  <c r="H37" i="5"/>
  <c r="E17" i="7"/>
  <c r="F7" i="6"/>
  <c r="F34" i="3"/>
  <c r="F36" i="3" s="1"/>
  <c r="F15" i="2"/>
  <c r="D12" i="7"/>
  <c r="D10" i="7"/>
  <c r="D9" i="7"/>
  <c r="D14" i="7" s="1"/>
  <c r="D20" i="7" s="1"/>
  <c r="G32" i="3"/>
  <c r="H26" i="3"/>
  <c r="H28" i="3" s="1"/>
  <c r="E10" i="6"/>
  <c r="F30" i="6"/>
  <c r="E18" i="7" s="1"/>
  <c r="C30" i="7"/>
  <c r="I21" i="4" l="1"/>
  <c r="H28" i="4"/>
  <c r="G6" i="6"/>
  <c r="J43" i="4"/>
  <c r="J55" i="4" s="1"/>
  <c r="J21" i="5"/>
  <c r="G16" i="7"/>
  <c r="H8" i="6"/>
  <c r="J37" i="5"/>
  <c r="G17" i="7"/>
  <c r="H7" i="6"/>
  <c r="I43" i="4"/>
  <c r="I55" i="4" s="1"/>
  <c r="I21" i="5"/>
  <c r="G8" i="6"/>
  <c r="F16" i="7"/>
  <c r="I37" i="5"/>
  <c r="F17" i="7"/>
  <c r="G7" i="6"/>
  <c r="I11" i="4"/>
  <c r="J11" i="4" s="1"/>
  <c r="G36" i="6"/>
  <c r="G40" i="6" s="1"/>
  <c r="H35" i="6" s="1"/>
  <c r="H40" i="6" s="1"/>
  <c r="F39" i="3"/>
  <c r="F40" i="3"/>
  <c r="F59" i="4"/>
  <c r="F6" i="5"/>
  <c r="F27" i="5" s="1"/>
  <c r="F52" i="5" s="1"/>
  <c r="F56" i="5" s="1"/>
  <c r="F10" i="4" s="1"/>
  <c r="D22" i="7"/>
  <c r="D27" i="7"/>
  <c r="G34" i="3"/>
  <c r="G36" i="3"/>
  <c r="E12" i="7"/>
  <c r="E10" i="7"/>
  <c r="E9" i="7"/>
  <c r="E14" i="7" s="1"/>
  <c r="E20" i="7" s="1"/>
  <c r="G15" i="2"/>
  <c r="H32" i="3"/>
  <c r="F10" i="6"/>
  <c r="J26" i="3"/>
  <c r="J28" i="3" s="1"/>
  <c r="J17" i="5"/>
  <c r="I26" i="3"/>
  <c r="I28" i="3" s="1"/>
  <c r="J18" i="5"/>
  <c r="H30" i="6"/>
  <c r="G18" i="7" s="1"/>
  <c r="J21" i="4" l="1"/>
  <c r="J28" i="4" s="1"/>
  <c r="I28" i="4"/>
  <c r="H6" i="6"/>
  <c r="H10" i="6" s="1"/>
  <c r="F62" i="4"/>
  <c r="F64" i="4" s="1"/>
  <c r="G59" i="4"/>
  <c r="F13" i="4"/>
  <c r="F18" i="4" s="1"/>
  <c r="F30" i="4" s="1"/>
  <c r="F66" i="4" s="1"/>
  <c r="G54" i="5"/>
  <c r="D30" i="7"/>
  <c r="G39" i="3"/>
  <c r="G40" i="3"/>
  <c r="G6" i="5"/>
  <c r="G27" i="5" s="1"/>
  <c r="G52" i="5" s="1"/>
  <c r="E22" i="7"/>
  <c r="E27" i="7"/>
  <c r="H34" i="3"/>
  <c r="H36" i="3"/>
  <c r="I15" i="2"/>
  <c r="G12" i="7"/>
  <c r="G10" i="7"/>
  <c r="G9" i="7"/>
  <c r="G14" i="7" s="1"/>
  <c r="G20" i="7" s="1"/>
  <c r="J32" i="3"/>
  <c r="H15" i="2"/>
  <c r="F12" i="7"/>
  <c r="F10" i="7"/>
  <c r="F9" i="7"/>
  <c r="F14" i="7" s="1"/>
  <c r="F20" i="7" s="1"/>
  <c r="I32" i="3"/>
  <c r="G10" i="6"/>
  <c r="G62" i="4" l="1"/>
  <c r="G64" i="4" s="1"/>
  <c r="H59" i="4"/>
  <c r="H39" i="3"/>
  <c r="H40" i="3"/>
  <c r="H6" i="5"/>
  <c r="H27" i="5" s="1"/>
  <c r="H52" i="5" s="1"/>
  <c r="G22" i="7"/>
  <c r="G27" i="7"/>
  <c r="G30" i="7" s="1"/>
  <c r="C35" i="7"/>
  <c r="C37" i="7" s="1"/>
  <c r="C40" i="7" s="1"/>
  <c r="C44" i="7" s="1"/>
  <c r="C50" i="7" s="1"/>
  <c r="J34" i="3"/>
  <c r="J36" i="3"/>
  <c r="F22" i="7"/>
  <c r="F27" i="7"/>
  <c r="I34" i="3"/>
  <c r="I36" i="3"/>
  <c r="G56" i="5"/>
  <c r="G10" i="4" s="1"/>
  <c r="E30" i="7"/>
  <c r="G9" i="8"/>
  <c r="F6" i="8"/>
  <c r="D6" i="8"/>
  <c r="F10" i="8"/>
  <c r="D10" i="8"/>
  <c r="C10" i="8"/>
  <c r="E9" i="8"/>
  <c r="C9" i="8"/>
  <c r="F7" i="8"/>
  <c r="C7" i="8"/>
  <c r="E6" i="8"/>
  <c r="C6" i="8"/>
  <c r="G10" i="8"/>
  <c r="E10" i="8"/>
  <c r="D9" i="8"/>
  <c r="E7" i="8"/>
  <c r="G8" i="8"/>
  <c r="C8" i="8"/>
  <c r="E8" i="8"/>
  <c r="F8" i="8"/>
  <c r="D8" i="8"/>
  <c r="D7" i="8"/>
  <c r="F9" i="8"/>
  <c r="G7" i="8"/>
  <c r="H62" i="4" l="1"/>
  <c r="H64" i="4" s="1"/>
  <c r="I59" i="4"/>
  <c r="J39" i="3"/>
  <c r="J40" i="3"/>
  <c r="J6" i="5"/>
  <c r="J27" i="5" s="1"/>
  <c r="J52" i="5" s="1"/>
  <c r="G6" i="8"/>
  <c r="F30" i="7"/>
  <c r="C32" i="7" s="1"/>
  <c r="C49" i="7" s="1"/>
  <c r="C52" i="7" s="1"/>
  <c r="C57" i="7" s="1"/>
  <c r="C60" i="7" s="1"/>
  <c r="I39" i="3"/>
  <c r="I40" i="3"/>
  <c r="I6" i="5"/>
  <c r="I27" i="5" s="1"/>
  <c r="I52" i="5" s="1"/>
  <c r="H54" i="5"/>
  <c r="H56" i="5" s="1"/>
  <c r="H10" i="4" s="1"/>
  <c r="G13" i="4"/>
  <c r="G18" i="4" s="1"/>
  <c r="G30" i="4" s="1"/>
  <c r="G66" i="4" s="1"/>
  <c r="C63" i="7"/>
  <c r="J28" i="7" s="1"/>
  <c r="C18" i="8" s="1"/>
  <c r="J26" i="7"/>
  <c r="C16" i="8" s="1"/>
  <c r="I62" i="4" l="1"/>
  <c r="I64" i="4" s="1"/>
  <c r="J59" i="4"/>
  <c r="J62" i="4" s="1"/>
  <c r="J64" i="4" s="1"/>
  <c r="H13" i="4"/>
  <c r="H18" i="4" s="1"/>
  <c r="H30" i="4" s="1"/>
  <c r="H66" i="4" s="1"/>
  <c r="I54" i="5"/>
  <c r="I56" i="5" s="1"/>
  <c r="I10" i="4" s="1"/>
  <c r="I13" i="4" l="1"/>
  <c r="I18" i="4" s="1"/>
  <c r="I30" i="4" s="1"/>
  <c r="I66" i="4" s="1"/>
  <c r="J54" i="5"/>
  <c r="J56" i="5" s="1"/>
  <c r="J10" i="4" s="1"/>
  <c r="J13" i="4" s="1"/>
  <c r="J18" i="4" s="1"/>
  <c r="J30" i="4" s="1"/>
  <c r="J66"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tc={413D42AD-D3BD-3548-8679-6FCD0BFD5888}</author>
  </authors>
  <commentList>
    <comment ref="B31" authorId="0" shapeId="0" xr:uid="{413D42AD-D3BD-3548-8679-6FCD0BFD5888}">
      <text>
        <t>[Threaded comment]
Your version of Excel allows you to read this threaded comment; however, any edits to it will get removed if the file is opened in a newer version of Excel. Learn more: https://go.microsoft.com/fwlink/?linkid=870924
Comment:
    Forecast assumptions were based on Alphabet’s FY2024 and FY2025 actual results.Revenue growth was assumed to decline from 14% in FY2026E to 10% in FY2030E, while CapEx was assumed to peak at 30% of revenue. are judgement-based assumptions, anchored to Alphabet’s recent actual performance and then reduced gradually over the five-year forecast period as it is unrealistic to assume a company grows at 14–15% forever.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tc={A2E71D78-4D40-BE41-8AB7-4BFD5A0993BC}</author>
    <author>tc={CE135096-BC3B-1943-96ED-671421ED90CC}</author>
    <author>tc={0A328F13-6899-6845-BB57-E64D446963DF}</author>
    <author>tc={2D80F552-FCC8-8E4D-B5E4-89997D49F2CA}</author>
  </authors>
  <commentList>
    <comment ref="K8" authorId="0" shapeId="0" xr:uid="{A2E71D78-4D40-BE41-8AB7-4BFD5A0993BC}">
      <text>
        <t>[Threaded comment]
Your version of Excel allows you to read this threaded comment; however, any edits to it will get removed if the file is opened in a newer version of Excel. Learn more: https://go.microsoft.com/fwlink/?linkid=870924
Comment:
    the forecast cells use: Straight line Revenue forecast: Forecast Revenue = Prior Year Revenue * (1+Revenue Growth) FY2025 was $402,836 I assumed revenue growth of 14% $402,836*1.14 = 459,233</t>
      </text>
    </comment>
    <comment ref="K17" authorId="1" shapeId="0" xr:uid="{CE135096-BC3B-1943-96ED-671421ED90CC}">
      <text>
        <t xml:space="preserve">[Threaded comment]
Your version of Excel allows you to read this threaded comment; however, any edits to it will get removed if the file is opened in a newer version of Excel. Learn more: https://go.microsoft.com/fwlink/?linkid=870924
Comment:
    I forecast gross margin. Gross profit=Revenue ×Gross Margin. Revenue Cost = Revenue - Gross Profit. FY2025:Rev: 402,836, Cost: 162,535 Gross Pro: 240,301 = Gross Margin: 59.7%.I assumed gross margin would start at 59.5% in FY2026E and improve gradually to 60.4 because Google Cloud is growing quickly and generally becomes more profitable at scaleHowever, the improvement is deliberately small because Alphabet is also investing heavily in AI infrastructure, which can put upward pressure on costs
</t>
      </text>
    </comment>
    <comment ref="K26" authorId="2" shapeId="0" xr:uid="{0A328F13-6899-6845-BB57-E64D446963DF}">
      <text>
        <t>[Threaded comment]
Your version of Excel allows you to read this threaded comment; however, any edits to it will get removed if the file is opened in a newer version of Excel. Learn more: https://go.microsoft.com/fwlink/?linkid=870924
Comment:
    Operating expenses increase because they are forecast as a percentage of revenue, and revenue is forecast to grow every year.</t>
      </text>
    </comment>
    <comment ref="B48" authorId="3" shapeId="0" xr:uid="{2D80F552-FCC8-8E4D-B5E4-89997D49F2CA}">
      <text>
        <t>[Threaded comment]
Your version of Excel allows you to read this threaded comment; however, any edits to it will get removed if the file is opened in a newer version of Excel. Learn more: https://go.microsoft.com/fwlink/?linkid=870924
Comment:
    An income statement shows a company’s revenue, expenses and profit over a period. Revenue − Cost of sales = Gross profit
Gross profit − Operating expenses = Operating profit
Operating profit − Interest − Tax = Net profit</t>
      </text>
    </comment>
  </commentList>
</comments>
</file>

<file path=xl/sharedStrings.xml><?xml version="1.0" encoding="utf-8"?>
<sst xmlns="http://schemas.openxmlformats.org/spreadsheetml/2006/main" count="330" uniqueCount="231">
  <si>
    <t>Alphabet Inc.</t>
  </si>
  <si>
    <t>Valuation Model</t>
  </si>
  <si>
    <t>NASDAQ: GOOGL / GOOG</t>
  </si>
  <si>
    <t>Prepared by: Nathan Adabra</t>
  </si>
  <si>
    <t>USD</t>
  </si>
  <si>
    <t>Assumptions • Three-Statement Model • Supporting Schedules • DCF • Sensitivity Analysis</t>
  </si>
  <si>
    <t>Assumptions</t>
  </si>
  <si>
    <t>Driver</t>
  </si>
  <si>
    <t>Historical</t>
  </si>
  <si>
    <t>Forecast</t>
  </si>
  <si>
    <t>FY2024A</t>
  </si>
  <si>
    <t>FY2025A</t>
  </si>
  <si>
    <t>FY2026E</t>
  </si>
  <si>
    <t>FY2027E</t>
  </si>
  <si>
    <t>FY2028E</t>
  </si>
  <si>
    <t>FY2029E</t>
  </si>
  <si>
    <t>FY2030E</t>
  </si>
  <si>
    <t>Growth</t>
  </si>
  <si>
    <t>Revenue Growth (%)</t>
  </si>
  <si>
    <t>Margins</t>
  </si>
  <si>
    <t>Gross Margin (%)</t>
  </si>
  <si>
    <t>R&amp;D (% Revenue)</t>
  </si>
  <si>
    <t>Sales and Marketing (% Revenue)</t>
  </si>
  <si>
    <t>G&amp;A (% Revenue)</t>
  </si>
  <si>
    <t>Implied Operating Margin (%)</t>
  </si>
  <si>
    <t>Tax Rate (%)</t>
  </si>
  <si>
    <t>Investment</t>
  </si>
  <si>
    <t>CapEx (% Revenue)</t>
  </si>
  <si>
    <t>Depreciation (% Revenue)</t>
  </si>
  <si>
    <t>Investment Purchases (% Revenue)</t>
  </si>
  <si>
    <t>Working Capital</t>
  </si>
  <si>
    <t>Accounts Receivable (% Revenue)</t>
  </si>
  <si>
    <t>Inventory (% Revenue)</t>
  </si>
  <si>
    <t>Accounts Payable (% Revenue)</t>
  </si>
  <si>
    <t>Capital Allocation</t>
  </si>
  <si>
    <t>Dividend Growth (%)</t>
  </si>
  <si>
    <t>Income Statement</t>
  </si>
  <si>
    <t>($ in millions, except per share data)</t>
  </si>
  <si>
    <t>FY2023A</t>
  </si>
  <si>
    <t>Revenue:</t>
  </si>
  <si>
    <t>Total Revenues</t>
  </si>
  <si>
    <t>Total Revenue</t>
  </si>
  <si>
    <t>Cost of Revenue:</t>
  </si>
  <si>
    <t>Cost of Revenues</t>
  </si>
  <si>
    <t>Total Cost of Revenue</t>
  </si>
  <si>
    <t>Gross Profit</t>
  </si>
  <si>
    <t>Operating Expenses:</t>
  </si>
  <si>
    <t>Research and Development</t>
  </si>
  <si>
    <t>Sales and Marketing</t>
  </si>
  <si>
    <t>General and Administrative</t>
  </si>
  <si>
    <t>Total Operating Expenses</t>
  </si>
  <si>
    <t>Operating Income</t>
  </si>
  <si>
    <t>Other Income (expense), Net</t>
  </si>
  <si>
    <t>Income before taxes</t>
  </si>
  <si>
    <t>Income Tax Expense</t>
  </si>
  <si>
    <t>Net Income</t>
  </si>
  <si>
    <t>Earnings Per Share:</t>
  </si>
  <si>
    <t xml:space="preserve">Basic </t>
  </si>
  <si>
    <t>Diluted</t>
  </si>
  <si>
    <t xml:space="preserve"> </t>
  </si>
  <si>
    <t>Weighted Average Shares Outstanding:</t>
  </si>
  <si>
    <t>Balance Sheet</t>
  </si>
  <si>
    <t>($ in millions)</t>
  </si>
  <si>
    <t xml:space="preserve">Historical </t>
  </si>
  <si>
    <t>Assets</t>
  </si>
  <si>
    <t>Current  Assets:</t>
  </si>
  <si>
    <t>Cash and Cash Equivalents</t>
  </si>
  <si>
    <t>Short-term Investments</t>
  </si>
  <si>
    <t>Total Cash and Short-Term Investments</t>
  </si>
  <si>
    <t xml:space="preserve">Accounts Receivable, Net </t>
  </si>
  <si>
    <t>Inventories</t>
  </si>
  <si>
    <t>Other Current Assets</t>
  </si>
  <si>
    <t>Total Current Assets</t>
  </si>
  <si>
    <t>Non-Current Assets:</t>
  </si>
  <si>
    <t>Property and Equipment, Net</t>
  </si>
  <si>
    <t>Operating Lease ROU Assets</t>
  </si>
  <si>
    <t>Equity and Other Investments</t>
  </si>
  <si>
    <t>Goodwill</t>
  </si>
  <si>
    <t>Intangible Assets, Net</t>
  </si>
  <si>
    <t>Other Long-Term Assets</t>
  </si>
  <si>
    <t>Total Non-Current Assets</t>
  </si>
  <si>
    <t>Total Assets</t>
  </si>
  <si>
    <t>Liabilities and Stockholders' Equity</t>
  </si>
  <si>
    <t>Current Liabilities:</t>
  </si>
  <si>
    <t>Accounts Payable</t>
  </si>
  <si>
    <t>Short-Term Debt</t>
  </si>
  <si>
    <t>Current Portion of Long-Term Debt</t>
  </si>
  <si>
    <t>Accrued Compensation</t>
  </si>
  <si>
    <t>Short-Term Income Taxes</t>
  </si>
  <si>
    <t>Short-Term Unearned Revenue</t>
  </si>
  <si>
    <t>Other Current Liabilities</t>
  </si>
  <si>
    <t>Total Current Liabilities:</t>
  </si>
  <si>
    <t>Non-Current Liabilities:</t>
  </si>
  <si>
    <t>Long-Term Debt</t>
  </si>
  <si>
    <t>Long-Term Income Taxes</t>
  </si>
  <si>
    <t>Long-Term Unearned Revenue</t>
  </si>
  <si>
    <t>Deferred Income Taxes</t>
  </si>
  <si>
    <t>Operating Lease Liabilities</t>
  </si>
  <si>
    <t>Other Long-term Liabilities</t>
  </si>
  <si>
    <t>Total Non-Current Liabilities</t>
  </si>
  <si>
    <t>Total Liabilities</t>
  </si>
  <si>
    <t>Stockholders' Equity:</t>
  </si>
  <si>
    <t>Common Stock and Paid-In Capital</t>
  </si>
  <si>
    <t>Retained Earnings</t>
  </si>
  <si>
    <t>Accumulated other Comprehensive Loss</t>
  </si>
  <si>
    <t>Total Stockholders' Equity</t>
  </si>
  <si>
    <t>Total Liabilities and Stockholders' Equity</t>
  </si>
  <si>
    <t>Balance Check</t>
  </si>
  <si>
    <t>Cash Flow Statement</t>
  </si>
  <si>
    <t>Operating Activities:</t>
  </si>
  <si>
    <t>Adjustments:</t>
  </si>
  <si>
    <t>Depreciation, Amortization, and other</t>
  </si>
  <si>
    <t>Stock-based Compensation Expense</t>
  </si>
  <si>
    <t>Investment and Derivatives Gains/Losses</t>
  </si>
  <si>
    <t>Changes in Operating Assets and Liabilities:</t>
  </si>
  <si>
    <t>Accounts Receivable</t>
  </si>
  <si>
    <t xml:space="preserve">Inventories </t>
  </si>
  <si>
    <t xml:space="preserve">Other Current Assets </t>
  </si>
  <si>
    <t>Unearned Revenue</t>
  </si>
  <si>
    <t>Income Taxes</t>
  </si>
  <si>
    <t xml:space="preserve">Other Current Liabilities </t>
  </si>
  <si>
    <t xml:space="preserve">Other Long-Term Liabilities </t>
  </si>
  <si>
    <t>Net Cash from Operating Activities</t>
  </si>
  <si>
    <t>Investing Activities:</t>
  </si>
  <si>
    <t>Additions to Property and Equipment</t>
  </si>
  <si>
    <t>Acquisitions, Net</t>
  </si>
  <si>
    <t>Purchases of Investments</t>
  </si>
  <si>
    <t>Maturities of Investments</t>
  </si>
  <si>
    <t>Sales of Investments</t>
  </si>
  <si>
    <t>Other, Net</t>
  </si>
  <si>
    <t>Net Cash Used in Investing Activities</t>
  </si>
  <si>
    <t>Financing Activities:</t>
  </si>
  <si>
    <t>Short-Term Debt Issued/(Repaid), Net</t>
  </si>
  <si>
    <t>Long-Term Debt Issued</t>
  </si>
  <si>
    <t>Long-Term Debt Repaid</t>
  </si>
  <si>
    <t>Common Stock Issued</t>
  </si>
  <si>
    <t>Share Repurchases</t>
  </si>
  <si>
    <t>Dividends Paid</t>
  </si>
  <si>
    <t>Net  Cash Used in Financing Activities</t>
  </si>
  <si>
    <t>FX Effect on Cash and Cash Equivalents</t>
  </si>
  <si>
    <t>Net Change in Cash and Cash Equivalents</t>
  </si>
  <si>
    <t>Beginning Cash and Cash Equivalents</t>
  </si>
  <si>
    <t>Ending Cash and Cash Equivalents</t>
  </si>
  <si>
    <t>Supporting Schedules</t>
  </si>
  <si>
    <t>PP&amp;E Schedule</t>
  </si>
  <si>
    <t>Beginning PP&amp;E</t>
  </si>
  <si>
    <t>+ CapEx</t>
  </si>
  <si>
    <t>- Depreciation</t>
  </si>
  <si>
    <t>+ Other PP&amp;E movements</t>
  </si>
  <si>
    <t>Ending PP&amp;E</t>
  </si>
  <si>
    <t>Working Capital Schedule</t>
  </si>
  <si>
    <t>Revenue</t>
  </si>
  <si>
    <t>AR % Revenue</t>
  </si>
  <si>
    <t>Ending AR</t>
  </si>
  <si>
    <t>Inventory</t>
  </si>
  <si>
    <t>Inventory % Revenue</t>
  </si>
  <si>
    <t>Ending Inventory</t>
  </si>
  <si>
    <t>AP % Revenue</t>
  </si>
  <si>
    <t>Ending AP</t>
  </si>
  <si>
    <t>Net Working Capital</t>
  </si>
  <si>
    <t>Change in Net Working Capital</t>
  </si>
  <si>
    <t>Investment Schedule</t>
  </si>
  <si>
    <t>Beginning Balance</t>
  </si>
  <si>
    <t>+ Purchases</t>
  </si>
  <si>
    <t>- Maturities</t>
  </si>
  <si>
    <t>- Sales</t>
  </si>
  <si>
    <t>+ Other Movements</t>
  </si>
  <si>
    <t>Ending Balance</t>
  </si>
  <si>
    <t>Depreciation Schedule</t>
  </si>
  <si>
    <t>Depreciation</t>
  </si>
  <si>
    <t>Depreciation % Revenue</t>
  </si>
  <si>
    <t>Depreciation Expense</t>
  </si>
  <si>
    <t>DCF Valuation</t>
  </si>
  <si>
    <t>Unlevered Free Cash Flow</t>
  </si>
  <si>
    <t>DCF Assumptions</t>
  </si>
  <si>
    <t>($ in millions, except per-share data)</t>
  </si>
  <si>
    <t>Risk-Free Rate %</t>
  </si>
  <si>
    <t>Beta</t>
  </si>
  <si>
    <t>Revenue Growth %</t>
  </si>
  <si>
    <t>Equity Risk Premium %</t>
  </si>
  <si>
    <t>Cost of Equity %</t>
  </si>
  <si>
    <t>EBIT/Operating Income</t>
  </si>
  <si>
    <t>EBIT Margin %</t>
  </si>
  <si>
    <t>Pre-tax Cost of Debt Assumption</t>
  </si>
  <si>
    <t>Tax Rate</t>
  </si>
  <si>
    <t>Taxes on EBIT</t>
  </si>
  <si>
    <t>After-Tax Cost of Debt</t>
  </si>
  <si>
    <t>Net Operating Profit After Tax</t>
  </si>
  <si>
    <t>Market Value of Equity ($m)</t>
  </si>
  <si>
    <t>Market Value of Debt ($m)</t>
  </si>
  <si>
    <t>Depreciation &amp; Amortization</t>
  </si>
  <si>
    <t>Total Capital ($m)</t>
  </si>
  <si>
    <t>Capital Expenditures</t>
  </si>
  <si>
    <t>Weight of Equity</t>
  </si>
  <si>
    <t>Weight of Debt</t>
  </si>
  <si>
    <t>Current Share Price ($)</t>
  </si>
  <si>
    <t>Unlevered Free Cash Flow (UFCF)</t>
  </si>
  <si>
    <t>Valuation Date</t>
  </si>
  <si>
    <t>WACC</t>
  </si>
  <si>
    <t>UFCF Growth %</t>
  </si>
  <si>
    <t>Terminal Growth Rate</t>
  </si>
  <si>
    <t>Present Value of UFCF</t>
  </si>
  <si>
    <t>Key Outputs</t>
  </si>
  <si>
    <t>Diluted Shares Outstanding (m)</t>
  </si>
  <si>
    <t>Discount Period</t>
  </si>
  <si>
    <t>Implied Share Price ($/share)</t>
  </si>
  <si>
    <t>UFCF</t>
  </si>
  <si>
    <t>Current Share Price ($/share)</t>
  </si>
  <si>
    <t>Discount Factor @ WACC</t>
  </si>
  <si>
    <t>Upside/ (Downside)</t>
  </si>
  <si>
    <t>PV of UFCF</t>
  </si>
  <si>
    <t>Total PV of UFCF</t>
  </si>
  <si>
    <t>Terminal Value</t>
  </si>
  <si>
    <t>FY2030E UFCF</t>
  </si>
  <si>
    <t>FY2031E UFCF</t>
  </si>
  <si>
    <t>Discount Factor</t>
  </si>
  <si>
    <t>PV of Terminal Value</t>
  </si>
  <si>
    <t>Valuation Summary</t>
  </si>
  <si>
    <t>Enterprise Value</t>
  </si>
  <si>
    <t>Cash and Short-Term Investments</t>
  </si>
  <si>
    <t>Total Debt</t>
  </si>
  <si>
    <t>Equity Value</t>
  </si>
  <si>
    <t>Current Share Price</t>
  </si>
  <si>
    <t>Sensitivity Analysis</t>
  </si>
  <si>
    <t>Implied Share Price Sensitivity ($/share)</t>
  </si>
  <si>
    <t>WACC ↓ / Terminal Growth →</t>
  </si>
  <si>
    <t>Base Case</t>
  </si>
  <si>
    <t>Implied Share Price</t>
  </si>
  <si>
    <t>Upside / (Downside)</t>
  </si>
  <si>
    <t>Valuation Date: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</si>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</sst>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164" formatCode="0.0%"/>
    <numFmt numFmtId="165" formatCode="\$#,##0;&quot; $(&quot;#,##0\)"/>
    <numFmt numFmtId="166" formatCode="##,##0;&quot; (&quot;##,##0\)"/>
    <numFmt numFmtId="167" formatCode="#,##0;&quot; (&quot;#,##0\)"/>
    <numFmt numFmtId="168" formatCode="\$##,##0;&quot; $(&quot;#,###&quot;))&quot;"/>
    <numFmt numFmtId="169" formatCode="\$###,##0;&quot; $(&quot;##,##0\)"/>
    <numFmt numFmtId="170" formatCode="\$#,##0;&quot; (&quot;#,##0\)"/>
    <numFmt numFmtId="171" formatCode="\$#0.00"/>
    <numFmt numFmtId="172" formatCode="##,##0;&quot; (&quot;#,##0\)"/>
    <numFmt numFmtId="173" formatCode="\$###,##0.00"/>
    <numFmt numFmtId="174" formatCode="#,##0;\ \(#,##0\)"/>
    <numFmt numFmtId="175" formatCode="#,##0;\(#,##0\);;"/>
    <numFmt numFmtId="176" formatCode="###,##0;\ \(###,##0\)"/>
    <numFmt numFmtId="177" formatCode="#0.00%"/>
    <numFmt numFmtId="178" formatCode="\$##,##0"/>
    <numFmt numFmtId="179" formatCode="\$###,##0;\ \$\(###,##0\)"/>
    <numFmt numFmtId="180" formatCode="0.00\x"/>
    <numFmt numFmtId="181" formatCode="\$#,##0.00"/>
    <numFmt numFmtId="182" formatCode="\$###,###,##0"/>
    <numFmt numFmtId="183" formatCode="&quot;£&quot;0.0;\ \$\(0.0\)"/>
    <numFmt numFmtId="184" formatCode="\$#,##0"/>
    <numFmt numFmtId="185" formatCode="dd/mm/yy;@"/>
    <numFmt numFmtId="186" formatCode="\$##,##0;\ \$\(#,###\)"/>
    <numFmt numFmtId="187" formatCode="\$##,##0;\ \$\(##,##0\)"/>
    <numFmt numFmtId="188" formatCode="0.0%;\ \(0.0\)%"/>
    <numFmt numFmtId="189" formatCode="\$#,##0.00;\ \$\(#,##0.00\);"/>
    <numFmt numFmtId="190" formatCode="##,##0"/>
    <numFmt numFmtId="191" formatCode="\$0.00"/>
    <numFmt numFmtId="192" formatCode="0.0%;\(0.0%\);\-"/>
    <numFmt numFmtId="193" formatCode="#,##0;[Red]\(#,##0\);\-"/>
    <numFmt numFmtId="194" formatCode="[$-F800]dddd\,\ mmmm\ dd\,\ yyyy"/>
    <numFmt numFmtId="195" formatCode="yyyy\-mm\-dd\ h:mm:ss"/>
  </numFmts>
  <fonts count="54" x14ac:knownFonts="1">
    <font>
      <sz val="11"/>
      <color theme="1"/>
      <name val="Aptos Narrow"/>
    </font>
    <font>
      <sz val="11"/>
      <color theme="1"/>
      <name val="Arial"/>
      <family val="2"/>
    </font>
    <font>
      <b/>
      <sz val="15"/>
      <color theme="3"/>
      <name val="Arial"/>
      <family val="2"/>
    </font>
    <font>
      <b/>
      <sz val="11"/>
      <color theme="0" tint="-4.9989318521683403E-2"/>
      <name val="Arial"/>
      <family val="2"/>
    </font>
    <font>
      <b/>
      <sz val="11"/>
      <color theme="3"/>
      <name val="Arial"/>
      <family val="2"/>
    </font>
    <font>
      <b/>
      <sz val="11"/>
      <color theme="1"/>
      <name val="Arial"/>
      <family val="2"/>
    </font>
    <font>
      <sz val="10"/>
      <color theme="1"/>
      <name val="Arial"/>
      <family val="2"/>
    </font>
    <font>
      <sz val="10"/>
      <color rgb="FF0000FF"/>
      <name val="Arial"/>
      <family val="2"/>
    </font>
    <font>
      <sz val="10"/>
      <color theme="3"/>
      <name val="Arial"/>
      <family val="2"/>
    </font>
    <font>
      <b/>
      <sz val="10"/>
      <color theme="1"/>
      <name val="Arial"/>
      <family val="2"/>
    </font>
    <font>
      <b/>
      <i/>
      <sz val="11"/>
      <color theme="0"/>
      <name val="Arial"/>
      <family val="2"/>
    </font>
    <font>
      <b/>
      <sz val="11"/>
      <color theme="0"/>
      <name val="Arial"/>
      <family val="2"/>
    </font>
    <font>
      <sz val="10"/>
      <name val="Arial"/>
      <family val="2"/>
    </font>
    <font>
      <sz val="10"/>
      <color rgb="FF009B00"/>
      <name val="Arial"/>
      <family val="2"/>
    </font>
    <font>
      <b/>
      <sz val="10"/>
      <name val="Arial"/>
      <family val="2"/>
    </font>
    <font>
      <b/>
      <sz val="15"/>
      <color theme="3"/>
      <name val="Arial"/>
      <family val="2"/>
    </font>
    <font>
      <sz val="11"/>
      <color theme="1"/>
      <name val="Arial"/>
      <family val="2"/>
    </font>
    <font>
      <sz val="10"/>
      <color theme="1"/>
      <name val="Arial"/>
      <family val="2"/>
    </font>
    <font>
      <b/>
      <i/>
      <sz val="11"/>
      <color theme="0"/>
      <name val="Arial"/>
      <family val="2"/>
    </font>
    <font>
      <b/>
      <sz val="11"/>
      <color theme="0"/>
      <name val="Arial"/>
      <family val="2"/>
    </font>
    <font>
      <b/>
      <sz val="11"/>
      <color theme="3"/>
      <name val="Arial"/>
      <family val="2"/>
    </font>
    <font>
      <b/>
      <sz val="11"/>
      <color theme="1"/>
      <name val="Arial"/>
      <family val="2"/>
    </font>
    <font>
      <sz val="10"/>
      <color rgb="FF0000FF"/>
      <name val="Arial"/>
      <family val="2"/>
    </font>
    <font>
      <b/>
      <sz val="10"/>
      <color rgb="FF000000"/>
      <name val="Arial"/>
      <family val="2"/>
    </font>
    <font>
      <b/>
      <sz val="10"/>
      <color theme="1"/>
      <name val="Arial"/>
      <family val="2"/>
    </font>
    <font>
      <sz val="10"/>
      <name val="Arial"/>
      <family val="2"/>
    </font>
    <font>
      <sz val="11"/>
      <color rgb="FF0000FF"/>
      <name val="Arial"/>
      <family val="2"/>
    </font>
    <font>
      <sz val="10"/>
      <color rgb="FF009B00"/>
      <name val="Arial"/>
      <family val="2"/>
    </font>
    <font>
      <sz val="11"/>
      <color theme="1"/>
      <name val="Abadi"/>
    </font>
    <font>
      <b/>
      <sz val="11"/>
      <color theme="2" tint="-0.249977111117893"/>
      <name val="Arial"/>
      <family val="2"/>
    </font>
    <font>
      <b/>
      <i/>
      <sz val="11"/>
      <color theme="1"/>
      <name val="Arial"/>
      <family val="2"/>
    </font>
    <font>
      <b/>
      <sz val="11"/>
      <color rgb="FFFF0000"/>
      <name val="Arial"/>
      <family val="2"/>
    </font>
    <font>
      <sz val="11"/>
      <color rgb="FF009B00"/>
      <name val="Arial"/>
      <family val="2"/>
    </font>
    <font>
      <sz val="11"/>
      <color rgb="FFFF0000"/>
      <name val="Arial"/>
      <family val="2"/>
    </font>
    <font>
      <sz val="11"/>
      <color theme="1"/>
      <name val="Arial"/>
      <family val="2"/>
    </font>
    <font>
      <b/>
      <sz val="11"/>
      <color rgb="FFFFFFFF"/>
      <name val="Arial"/>
      <family val="2"/>
    </font>
    <font>
      <b/>
      <sz val="11"/>
      <color rgb="FF000000"/>
      <name val="Arial"/>
      <family val="2"/>
    </font>
    <font>
      <b/>
      <sz val="10"/>
      <color rgb="FF000000"/>
      <name val="Arial"/>
      <family val="2"/>
    </font>
    <font>
      <sz val="10"/>
      <color rgb="FF000000"/>
      <name val="Arial"/>
      <family val="2"/>
    </font>
    <font>
      <b/>
      <sz val="10"/>
      <color rgb="FFC00000"/>
      <name val="Arial"/>
      <family val="2"/>
    </font>
    <font>
      <sz val="10"/>
      <color rgb="FF009B00"/>
      <name val="Arial"/>
      <family val="2"/>
    </font>
    <font>
      <sz val="10"/>
      <color rgb="FF000000"/>
      <name val="Arial"/>
      <family val="2"/>
    </font>
    <font>
      <sz val="10"/>
      <color rgb="FF008000"/>
      <name val="Arial"/>
      <family val="2"/>
    </font>
    <font>
      <sz val="10"/>
      <color rgb="FF0000FF"/>
      <name val="Arial"/>
      <family val="2"/>
    </font>
    <font>
      <b/>
      <sz val="11"/>
      <color rgb="FFA6A6A6"/>
      <name val="Arial"/>
      <family val="2"/>
    </font>
    <font>
      <sz val="11"/>
      <color theme="1"/>
      <name val="Arial"/>
      <family val="2"/>
    </font>
    <font>
      <sz val="11"/>
      <color theme="3"/>
      <name val="Arial"/>
      <family val="2"/>
    </font>
    <font>
      <sz val="20"/>
      <color theme="3"/>
      <name val="Arial"/>
      <family val="2"/>
    </font>
    <font>
      <b/>
      <sz val="35"/>
      <color theme="3"/>
      <name val="Arial"/>
      <family val="2"/>
    </font>
    <font>
      <b/>
      <sz val="20"/>
      <color theme="3"/>
      <name val="Arial"/>
      <family val="2"/>
    </font>
    <font>
      <b/>
      <sz val="11"/>
      <color theme="3"/>
      <name val="Arial"/>
      <family val="2"/>
    </font>
    <font>
      <b/>
      <sz val="15"/>
      <color theme="3"/>
      <name val="Arial"/>
      <family val="2"/>
    </font>
    <font>
      <b/>
      <sz val="11"/>
      <color theme="0"/>
      <name val="Arial"/>
      <family val="2"/>
    </font>
    <font>
      <sz val="10"/>
      <color rgb="FF000000"/>
      <name val="Tahoma"/>
      <family val="2"/>
    </font>
  </fonts>
  <fills count="14">
    <fill>
      <patternFill patternType="none"/>
    </fill>
    <fill>
      <patternFill patternType="gray125"/>
    </fill>
    <fill>
      <patternFill patternType="solid">
        <fgColor theme="4"/>
      </patternFill>
    </fill>
    <fill>
      <patternFill patternType="solid">
        <fgColor theme="3" tint="0.89989928891872917"/>
        <bgColor indexed="65"/>
      </patternFill>
    </fill>
    <fill>
      <patternFill patternType="solid">
        <fgColor theme="0"/>
      </patternFill>
    </fill>
    <fill>
      <patternFill patternType="solid">
        <fgColor theme="4"/>
      </patternFill>
    </fill>
    <fill>
      <patternFill patternType="solid">
        <fgColor theme="3" tint="0.89992980742820516"/>
        <bgColor indexed="65"/>
      </patternFill>
    </fill>
    <fill>
      <patternFill patternType="solid">
        <fgColor rgb="FFD9EAF7"/>
      </patternFill>
    </fill>
    <fill>
      <patternFill patternType="solid">
        <fgColor rgb="FFFFF2CC"/>
      </patternFill>
    </fill>
    <fill>
      <patternFill patternType="solid">
        <fgColor rgb="FFFFFFFF"/>
      </patternFill>
    </fill>
    <fill>
      <patternFill patternType="solid">
        <fgColor rgb="FF156082"/>
      </patternFill>
    </fill>
    <fill>
      <patternFill patternType="solid">
        <fgColor rgb="FFD9EAF7"/>
      </patternFill>
    </fill>
    <fill>
      <patternFill patternType="solid">
        <fgColor theme="3"/>
        <bgColor indexed="64"/>
      </patternFill>
    </fill>
    <fill>
      <patternFill patternType="solid">
        <fgColor theme="4"/>
        <bgColor indexed="64"/>
      </patternFill>
    </fill>
  </fills>
  <borders count="7">
    <border>
      <left/>
      <right/>
      <top/>
      <bottom/>
      <diagonal/>
    </border>
    <border>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B7C9D6"/>
      </left>
      <right style="thin">
        <color rgb="FFB7C9D6"/>
      </right>
      <top style="thin">
        <color rgb="FFB7C9D6"/>
      </top>
      <bottom style="thin">
        <color rgb="FFB7C9D6"/>
      </bottom>
      <diagonal/>
    </border>
    <border>
      <left style="thick">
        <color rgb="FF7F6000"/>
      </left>
      <right style="thick">
        <color rgb="FF7F6000"/>
      </right>
      <top style="thick">
        <color rgb="FF7F6000"/>
      </top>
      <bottom style="thick">
        <color rgb="FF7F6000"/>
      </bottom>
      <diagonal/>
    </border>
  </borders>
  <cellStyleXfs count="1">
    <xf numFmtId="0" fontId="0" fillId="0" borderId="0"/>
  </cellStyleXfs>
  <cellXfs count="231">
    <xf numFmtId="0" fontId="0" fillId="0" borderId="0" xfId="0"/>
    <xf numFmtId="0" fontId="1" fillId="0" borderId="0" xfId="0" applyFont="1"/>
    <xf numFmtId="0" fontId="2" fillId="0" borderId="0" xfId="0" applyFont="1"/>
    <xf numFmtId="0" fontId="3" fillId="2" borderId="0" xfId="0" applyFont="1" applyFill="1"/>
    <xf numFmtId="0" fontId="1" fillId="3" borderId="0" xfId="0" applyFont="1" applyFill="1"/>
    <xf numFmtId="0" fontId="3" fillId="4" borderId="0" xfId="0" applyFont="1" applyFill="1"/>
    <xf numFmtId="0" fontId="3" fillId="4" borderId="0" xfId="0" applyFont="1" applyFill="1" applyAlignment="1">
      <alignment horizontal="right"/>
    </xf>
    <xf numFmtId="0" fontId="5" fillId="3" borderId="0" xfId="0" applyFont="1" applyFill="1"/>
    <xf numFmtId="0" fontId="6" fillId="3" borderId="0" xfId="0" applyFont="1" applyFill="1"/>
    <xf numFmtId="0" fontId="6" fillId="0" borderId="0" xfId="0" applyFont="1" applyAlignment="1">
      <alignment horizontal="left"/>
    </xf>
    <xf numFmtId="164" fontId="6" fillId="0" borderId="0" xfId="0" applyNumberFormat="1" applyFont="1"/>
    <xf numFmtId="164" fontId="7" fillId="0" borderId="0" xfId="0" applyNumberFormat="1" applyFont="1"/>
    <xf numFmtId="10" fontId="1" fillId="0" borderId="0" xfId="0" applyNumberFormat="1" applyFont="1"/>
    <xf numFmtId="0" fontId="6" fillId="0" borderId="0" xfId="0" applyFont="1"/>
    <xf numFmtId="164" fontId="6" fillId="3" borderId="0" xfId="0" applyNumberFormat="1" applyFont="1" applyFill="1"/>
    <xf numFmtId="164" fontId="9" fillId="0" borderId="0" xfId="0" applyNumberFormat="1" applyFont="1"/>
    <xf numFmtId="0" fontId="10" fillId="2" borderId="0" xfId="0" applyFont="1" applyFill="1" applyAlignment="1">
      <alignment horizontal="left"/>
    </xf>
    <xf numFmtId="0" fontId="4" fillId="3" borderId="0" xfId="0" applyFont="1" applyFill="1" applyAlignment="1">
      <alignment horizontal="center"/>
    </xf>
    <xf numFmtId="0" fontId="5" fillId="4" borderId="0" xfId="0" applyFont="1" applyFill="1" applyAlignment="1">
      <alignment horizontal="center"/>
    </xf>
    <xf numFmtId="0" fontId="6" fillId="0" borderId="1" xfId="0" applyFont="1" applyBorder="1"/>
    <xf numFmtId="0" fontId="5" fillId="0" borderId="0" xfId="0" applyFont="1"/>
    <xf numFmtId="0" fontId="6" fillId="0" borderId="3" xfId="0" applyFont="1" applyBorder="1"/>
    <xf numFmtId="0" fontId="10" fillId="2" borderId="0" xfId="0" applyFont="1" applyFill="1" applyAlignment="1">
      <alignment horizontal="left" vertical="top"/>
    </xf>
    <xf numFmtId="0" fontId="1" fillId="4" borderId="0" xfId="0" applyFont="1" applyFill="1"/>
    <xf numFmtId="0" fontId="5" fillId="4" borderId="0" xfId="0" applyFont="1" applyFill="1"/>
    <xf numFmtId="165" fontId="13" fillId="0" borderId="0" xfId="0" applyNumberFormat="1" applyFont="1"/>
    <xf numFmtId="3" fontId="7" fillId="0" borderId="0" xfId="0" applyNumberFormat="1" applyFont="1"/>
    <xf numFmtId="166" fontId="12" fillId="0" borderId="0" xfId="0" applyNumberFormat="1" applyFont="1"/>
    <xf numFmtId="166" fontId="6" fillId="0" borderId="0" xfId="0" applyNumberFormat="1" applyFont="1"/>
    <xf numFmtId="3" fontId="7" fillId="3" borderId="0" xfId="0" applyNumberFormat="1" applyFont="1" applyFill="1"/>
    <xf numFmtId="166" fontId="6" fillId="3" borderId="0" xfId="0" applyNumberFormat="1" applyFont="1" applyFill="1"/>
    <xf numFmtId="3" fontId="7" fillId="0" borderId="1" xfId="0" applyNumberFormat="1" applyFont="1" applyBorder="1"/>
    <xf numFmtId="166" fontId="6" fillId="0" borderId="1" xfId="0" applyNumberFormat="1" applyFont="1" applyBorder="1"/>
    <xf numFmtId="0" fontId="5" fillId="0" borderId="1" xfId="0" applyFont="1" applyBorder="1" applyAlignment="1">
      <alignment horizontal="left"/>
    </xf>
    <xf numFmtId="3" fontId="7" fillId="0" borderId="3" xfId="0" applyNumberFormat="1" applyFont="1" applyBorder="1"/>
    <xf numFmtId="166" fontId="6" fillId="0" borderId="3" xfId="0" applyNumberFormat="1" applyFont="1" applyBorder="1"/>
    <xf numFmtId="167" fontId="7" fillId="0" borderId="0" xfId="0" applyNumberFormat="1" applyFont="1"/>
    <xf numFmtId="165" fontId="7" fillId="0" borderId="1" xfId="0" applyNumberFormat="1" applyFont="1" applyBorder="1"/>
    <xf numFmtId="168" fontId="6" fillId="0" borderId="3" xfId="0" applyNumberFormat="1" applyFont="1" applyBorder="1"/>
    <xf numFmtId="0" fontId="1" fillId="0" borderId="1" xfId="0" applyFont="1" applyBorder="1"/>
    <xf numFmtId="169" fontId="13" fillId="0" borderId="0" xfId="0" applyNumberFormat="1" applyFont="1"/>
    <xf numFmtId="169" fontId="6" fillId="0" borderId="0" xfId="0" applyNumberFormat="1" applyFont="1"/>
    <xf numFmtId="165" fontId="13" fillId="3" borderId="0" xfId="0" applyNumberFormat="1" applyFont="1" applyFill="1"/>
    <xf numFmtId="169" fontId="6" fillId="3" borderId="0" xfId="0" applyNumberFormat="1" applyFont="1" applyFill="1"/>
    <xf numFmtId="165" fontId="7" fillId="0" borderId="0" xfId="0" applyNumberFormat="1" applyFont="1"/>
    <xf numFmtId="167" fontId="14" fillId="0" borderId="1" xfId="0" applyNumberFormat="1" applyFont="1" applyBorder="1"/>
    <xf numFmtId="166" fontId="9" fillId="0" borderId="1" xfId="0" applyNumberFormat="1" applyFont="1" applyBorder="1"/>
    <xf numFmtId="167" fontId="7" fillId="0" borderId="1" xfId="0" applyNumberFormat="1" applyFont="1" applyBorder="1"/>
    <xf numFmtId="167" fontId="7" fillId="3" borderId="0" xfId="0" applyNumberFormat="1" applyFont="1" applyFill="1"/>
    <xf numFmtId="166" fontId="13" fillId="0" borderId="0" xfId="0" applyNumberFormat="1" applyFont="1"/>
    <xf numFmtId="0" fontId="15" fillId="0" borderId="0" xfId="0" applyFont="1" applyAlignment="1">
      <alignment vertical="top"/>
    </xf>
    <xf numFmtId="0" fontId="16" fillId="0" borderId="0" xfId="0" applyFont="1"/>
    <xf numFmtId="0" fontId="17" fillId="0" borderId="0" xfId="0" applyFont="1"/>
    <xf numFmtId="0" fontId="18" fillId="2" borderId="0" xfId="0" applyFont="1" applyFill="1" applyAlignment="1">
      <alignment horizontal="left"/>
    </xf>
    <xf numFmtId="0" fontId="17" fillId="3" borderId="0" xfId="0" applyFont="1" applyFill="1"/>
    <xf numFmtId="0" fontId="20" fillId="3" borderId="0" xfId="0" applyFont="1" applyFill="1" applyAlignment="1">
      <alignment horizontal="center"/>
    </xf>
    <xf numFmtId="0" fontId="17" fillId="4" borderId="0" xfId="0" applyFont="1" applyFill="1"/>
    <xf numFmtId="0" fontId="21" fillId="4" borderId="0" xfId="0" applyFont="1" applyFill="1" applyAlignment="1">
      <alignment horizontal="center"/>
    </xf>
    <xf numFmtId="0" fontId="21" fillId="3" borderId="0" xfId="0" applyFont="1" applyFill="1"/>
    <xf numFmtId="0" fontId="16" fillId="3" borderId="0" xfId="0" applyFont="1" applyFill="1"/>
    <xf numFmtId="0" fontId="17" fillId="0" borderId="0" xfId="0" applyFont="1" applyAlignment="1">
      <alignment horizontal="left"/>
    </xf>
    <xf numFmtId="170" fontId="22" fillId="0" borderId="0" xfId="0" applyNumberFormat="1" applyFont="1" applyAlignment="1">
      <alignment horizontal="right"/>
    </xf>
    <xf numFmtId="165" fontId="17" fillId="0" borderId="0" xfId="0" applyNumberFormat="1" applyFont="1"/>
    <xf numFmtId="167" fontId="22" fillId="0" borderId="0" xfId="0" applyNumberFormat="1" applyFont="1" applyAlignment="1">
      <alignment horizontal="right"/>
    </xf>
    <xf numFmtId="3" fontId="17" fillId="0" borderId="0" xfId="0" applyNumberFormat="1" applyFont="1"/>
    <xf numFmtId="0" fontId="17" fillId="0" borderId="1" xfId="0" applyFont="1" applyBorder="1"/>
    <xf numFmtId="167" fontId="22" fillId="0" borderId="1" xfId="0" applyNumberFormat="1" applyFont="1" applyBorder="1" applyAlignment="1">
      <alignment horizontal="right"/>
    </xf>
    <xf numFmtId="3" fontId="17" fillId="0" borderId="1" xfId="0" applyNumberFormat="1" applyFont="1" applyBorder="1"/>
    <xf numFmtId="0" fontId="21" fillId="0" borderId="0" xfId="0" applyFont="1"/>
    <xf numFmtId="0" fontId="17" fillId="0" borderId="0" xfId="0" applyFont="1" applyAlignment="1">
      <alignment horizontal="right"/>
    </xf>
    <xf numFmtId="0" fontId="23" fillId="0" borderId="1" xfId="0" applyFont="1" applyBorder="1"/>
    <xf numFmtId="167" fontId="23" fillId="0" borderId="1" xfId="0" applyNumberFormat="1" applyFont="1" applyBorder="1" applyAlignment="1">
      <alignment horizontal="right"/>
    </xf>
    <xf numFmtId="0" fontId="23" fillId="0" borderId="0" xfId="0" applyFont="1"/>
    <xf numFmtId="167" fontId="23" fillId="0" borderId="0" xfId="0" applyNumberFormat="1" applyFont="1" applyAlignment="1">
      <alignment horizontal="right"/>
    </xf>
    <xf numFmtId="167" fontId="23" fillId="3" borderId="0" xfId="0" applyNumberFormat="1" applyFont="1" applyFill="1" applyAlignment="1">
      <alignment horizontal="right"/>
    </xf>
    <xf numFmtId="3" fontId="17" fillId="3" borderId="0" xfId="0" applyNumberFormat="1" applyFont="1" applyFill="1"/>
    <xf numFmtId="0" fontId="17" fillId="0" borderId="3" xfId="0" applyFont="1" applyBorder="1"/>
    <xf numFmtId="167" fontId="22" fillId="0" borderId="3" xfId="0" applyNumberFormat="1" applyFont="1" applyBorder="1" applyAlignment="1">
      <alignment horizontal="right"/>
    </xf>
    <xf numFmtId="0" fontId="21" fillId="0" borderId="1" xfId="0" applyFont="1" applyBorder="1" applyAlignment="1">
      <alignment wrapText="1"/>
    </xf>
    <xf numFmtId="167" fontId="23" fillId="0" borderId="1" xfId="0" applyNumberFormat="1" applyFont="1" applyBorder="1" applyAlignment="1">
      <alignment horizontal="right" wrapText="1"/>
    </xf>
    <xf numFmtId="0" fontId="24" fillId="0" borderId="1" xfId="0" applyFont="1" applyBorder="1"/>
    <xf numFmtId="170" fontId="22" fillId="0" borderId="1" xfId="0" applyNumberFormat="1" applyFont="1" applyBorder="1" applyAlignment="1">
      <alignment horizontal="right"/>
    </xf>
    <xf numFmtId="165" fontId="17" fillId="0" borderId="1" xfId="0" applyNumberFormat="1" applyFont="1" applyBorder="1"/>
    <xf numFmtId="170" fontId="22" fillId="3" borderId="0" xfId="0" applyNumberFormat="1" applyFont="1" applyFill="1" applyAlignment="1">
      <alignment horizontal="right"/>
    </xf>
    <xf numFmtId="165" fontId="17" fillId="3" borderId="0" xfId="0" applyNumberFormat="1" applyFont="1" applyFill="1"/>
    <xf numFmtId="171" fontId="25" fillId="0" borderId="0" xfId="0" applyNumberFormat="1" applyFont="1" applyAlignment="1">
      <alignment horizontal="right"/>
    </xf>
    <xf numFmtId="3" fontId="22" fillId="0" borderId="0" xfId="0" applyNumberFormat="1" applyFont="1" applyAlignment="1">
      <alignment horizontal="right"/>
    </xf>
    <xf numFmtId="170" fontId="26" fillId="0" borderId="0" xfId="0" applyNumberFormat="1" applyFont="1"/>
    <xf numFmtId="9" fontId="19" fillId="2" borderId="0" xfId="0" applyNumberFormat="1" applyFont="1" applyFill="1"/>
    <xf numFmtId="0" fontId="16" fillId="2" borderId="1" xfId="0" applyFont="1" applyFill="1" applyBorder="1"/>
    <xf numFmtId="9" fontId="17" fillId="0" borderId="0" xfId="0" applyNumberFormat="1" applyFont="1" applyAlignment="1">
      <alignment horizontal="left"/>
    </xf>
    <xf numFmtId="172" fontId="17" fillId="0" borderId="0" xfId="0" applyNumberFormat="1" applyFont="1"/>
    <xf numFmtId="172" fontId="21" fillId="0" borderId="0" xfId="0" applyNumberFormat="1" applyFont="1"/>
    <xf numFmtId="0" fontId="19" fillId="2" borderId="0" xfId="0" applyFont="1" applyFill="1"/>
    <xf numFmtId="9" fontId="16" fillId="0" borderId="0" xfId="0" applyNumberFormat="1" applyFont="1"/>
    <xf numFmtId="172" fontId="16" fillId="0" borderId="0" xfId="0" applyNumberFormat="1" applyFont="1"/>
    <xf numFmtId="172" fontId="27" fillId="0" borderId="0" xfId="0" applyNumberFormat="1" applyFont="1"/>
    <xf numFmtId="9" fontId="17" fillId="0" borderId="0" xfId="0" applyNumberFormat="1" applyFont="1"/>
    <xf numFmtId="9" fontId="27" fillId="0" borderId="0" xfId="0" applyNumberFormat="1" applyFont="1"/>
    <xf numFmtId="0" fontId="8" fillId="0" borderId="0" xfId="0" applyFont="1" applyAlignment="1">
      <alignment horizontal="left"/>
    </xf>
    <xf numFmtId="0" fontId="9" fillId="0" borderId="0" xfId="0" applyFont="1" applyAlignment="1">
      <alignment horizontal="left"/>
    </xf>
    <xf numFmtId="0" fontId="24" fillId="0" borderId="0" xfId="0" applyFont="1" applyAlignment="1">
      <alignment horizontal="left"/>
    </xf>
    <xf numFmtId="173" fontId="17" fillId="0" borderId="0" xfId="0" applyNumberFormat="1" applyFont="1"/>
    <xf numFmtId="174" fontId="22" fillId="0" borderId="0" xfId="0" applyNumberFormat="1" applyFont="1" applyAlignment="1">
      <alignment horizontal="right"/>
    </xf>
    <xf numFmtId="175" fontId="17" fillId="0" borderId="0" xfId="0" applyNumberFormat="1" applyFont="1"/>
    <xf numFmtId="0" fontId="28" fillId="0" borderId="0" xfId="0" applyFont="1"/>
    <xf numFmtId="176" fontId="16" fillId="0" borderId="0" xfId="0" applyNumberFormat="1" applyFont="1"/>
    <xf numFmtId="177" fontId="21" fillId="0" borderId="0" xfId="0" applyNumberFormat="1" applyFont="1"/>
    <xf numFmtId="178" fontId="21" fillId="0" borderId="0" xfId="0" applyNumberFormat="1" applyFont="1"/>
    <xf numFmtId="0" fontId="15" fillId="0" borderId="0" xfId="0" applyFont="1"/>
    <xf numFmtId="0" fontId="16" fillId="5" borderId="0" xfId="0" applyFont="1" applyFill="1"/>
    <xf numFmtId="0" fontId="29" fillId="6" borderId="0" xfId="0" applyFont="1" applyFill="1" applyAlignment="1">
      <alignment horizontal="right"/>
    </xf>
    <xf numFmtId="0" fontId="29" fillId="3" borderId="0" xfId="0" applyFont="1" applyFill="1" applyAlignment="1">
      <alignment horizontal="center"/>
    </xf>
    <xf numFmtId="0" fontId="21" fillId="0" borderId="1" xfId="0" applyFont="1" applyBorder="1"/>
    <xf numFmtId="176" fontId="21" fillId="0" borderId="1" xfId="0" applyNumberFormat="1" applyFont="1" applyBorder="1"/>
    <xf numFmtId="0" fontId="16" fillId="0" borderId="1" xfId="0" applyFont="1" applyBorder="1"/>
    <xf numFmtId="176" fontId="16" fillId="0" borderId="1" xfId="0" applyNumberFormat="1" applyFont="1" applyBorder="1"/>
    <xf numFmtId="178" fontId="21" fillId="0" borderId="1" xfId="0" applyNumberFormat="1" applyFont="1" applyBorder="1"/>
    <xf numFmtId="0" fontId="19" fillId="5" borderId="0" xfId="0" applyFont="1" applyFill="1"/>
    <xf numFmtId="0" fontId="30" fillId="6" borderId="0" xfId="0" applyFont="1" applyFill="1"/>
    <xf numFmtId="0" fontId="16" fillId="0" borderId="0" xfId="0" applyFont="1" applyAlignment="1">
      <alignment horizontal="left"/>
    </xf>
    <xf numFmtId="0" fontId="29" fillId="3" borderId="0" xfId="0" applyFont="1" applyFill="1" applyAlignment="1">
      <alignment horizontal="center" vertical="center"/>
    </xf>
    <xf numFmtId="0" fontId="20" fillId="3" borderId="0" xfId="0" applyFont="1" applyFill="1" applyAlignment="1">
      <alignment horizontal="center" vertical="center"/>
    </xf>
    <xf numFmtId="0" fontId="4" fillId="3" borderId="0" xfId="0" applyFont="1" applyFill="1" applyAlignment="1">
      <alignment horizontal="center" vertical="center"/>
    </xf>
    <xf numFmtId="0" fontId="29" fillId="6" borderId="0" xfId="0" applyFont="1" applyFill="1" applyAlignment="1">
      <alignment horizontal="center" vertical="center"/>
    </xf>
    <xf numFmtId="0" fontId="20" fillId="6" borderId="0" xfId="0" applyFont="1" applyFill="1" applyAlignment="1">
      <alignment horizontal="center" vertical="center"/>
    </xf>
    <xf numFmtId="179" fontId="27" fillId="0" borderId="0" xfId="0" applyNumberFormat="1" applyFont="1"/>
    <xf numFmtId="164" fontId="17" fillId="0" borderId="0" xfId="0" applyNumberFormat="1" applyFont="1"/>
    <xf numFmtId="176" fontId="17" fillId="0" borderId="0" xfId="0" applyNumberFormat="1" applyFont="1"/>
    <xf numFmtId="176" fontId="27" fillId="0" borderId="0" xfId="0" applyNumberFormat="1" applyFont="1"/>
    <xf numFmtId="178" fontId="17" fillId="0" borderId="0" xfId="0" applyNumberFormat="1" applyFont="1"/>
    <xf numFmtId="180" fontId="17" fillId="0" borderId="0" xfId="0" applyNumberFormat="1" applyFont="1"/>
    <xf numFmtId="10" fontId="17" fillId="0" borderId="0" xfId="0" applyNumberFormat="1" applyFont="1"/>
    <xf numFmtId="181" fontId="17" fillId="0" borderId="0" xfId="0" applyNumberFormat="1" applyFont="1"/>
    <xf numFmtId="177" fontId="22" fillId="0" borderId="0" xfId="0" applyNumberFormat="1" applyFont="1"/>
    <xf numFmtId="2" fontId="22" fillId="0" borderId="0" xfId="0" applyNumberFormat="1" applyFont="1"/>
    <xf numFmtId="177" fontId="27" fillId="0" borderId="0" xfId="0" applyNumberFormat="1" applyFont="1"/>
    <xf numFmtId="182" fontId="17" fillId="0" borderId="0" xfId="0" applyNumberFormat="1" applyFont="1"/>
    <xf numFmtId="183" fontId="17" fillId="0" borderId="0" xfId="0" applyNumberFormat="1" applyFont="1"/>
    <xf numFmtId="184" fontId="17" fillId="0" borderId="0" xfId="0" applyNumberFormat="1" applyFont="1"/>
    <xf numFmtId="177" fontId="17" fillId="0" borderId="0" xfId="0" applyNumberFormat="1" applyFont="1"/>
    <xf numFmtId="181" fontId="22" fillId="0" borderId="0" xfId="0" applyNumberFormat="1" applyFont="1"/>
    <xf numFmtId="185" fontId="17" fillId="0" borderId="0" xfId="0" applyNumberFormat="1" applyFont="1"/>
    <xf numFmtId="165" fontId="27" fillId="0" borderId="0" xfId="0" applyNumberFormat="1" applyFont="1"/>
    <xf numFmtId="172" fontId="22" fillId="0" borderId="0" xfId="0" applyNumberFormat="1" applyFont="1"/>
    <xf numFmtId="174" fontId="25" fillId="0" borderId="0" xfId="0" applyNumberFormat="1" applyFont="1" applyAlignment="1">
      <alignment horizontal="right"/>
    </xf>
    <xf numFmtId="0" fontId="17" fillId="0" borderId="4" xfId="0" applyFont="1" applyBorder="1" applyAlignment="1">
      <alignment horizontal="left"/>
    </xf>
    <xf numFmtId="180" fontId="17" fillId="0" borderId="4" xfId="0" applyNumberFormat="1" applyFont="1" applyBorder="1"/>
    <xf numFmtId="3" fontId="25" fillId="3" borderId="0" xfId="0" applyNumberFormat="1" applyFont="1" applyFill="1"/>
    <xf numFmtId="186" fontId="27" fillId="0" borderId="0" xfId="0" applyNumberFormat="1" applyFont="1"/>
    <xf numFmtId="0" fontId="5" fillId="6" borderId="1" xfId="0" applyFont="1" applyFill="1" applyBorder="1"/>
    <xf numFmtId="167" fontId="14" fillId="6" borderId="1" xfId="0" applyNumberFormat="1" applyFont="1" applyFill="1" applyBorder="1"/>
    <xf numFmtId="166" fontId="9" fillId="6" borderId="1" xfId="0" applyNumberFormat="1" applyFont="1" applyFill="1" applyBorder="1"/>
    <xf numFmtId="165" fontId="14" fillId="6" borderId="1" xfId="0" applyNumberFormat="1" applyFont="1" applyFill="1" applyBorder="1"/>
    <xf numFmtId="169" fontId="9" fillId="6" borderId="1" xfId="0" applyNumberFormat="1" applyFont="1" applyFill="1" applyBorder="1"/>
    <xf numFmtId="3" fontId="14" fillId="6" borderId="1" xfId="0" applyNumberFormat="1" applyFont="1" applyFill="1" applyBorder="1"/>
    <xf numFmtId="166" fontId="9" fillId="6" borderId="3" xfId="0" applyNumberFormat="1" applyFont="1" applyFill="1" applyBorder="1"/>
    <xf numFmtId="0" fontId="5" fillId="6" borderId="1" xfId="0" applyFont="1" applyFill="1" applyBorder="1" applyAlignment="1">
      <alignment horizontal="left"/>
    </xf>
    <xf numFmtId="0" fontId="5" fillId="6" borderId="3" xfId="0" applyFont="1" applyFill="1" applyBorder="1"/>
    <xf numFmtId="165" fontId="14" fillId="6" borderId="3" xfId="0" applyNumberFormat="1" applyFont="1" applyFill="1" applyBorder="1"/>
    <xf numFmtId="187" fontId="9" fillId="6" borderId="3" xfId="0" applyNumberFormat="1" applyFont="1" applyFill="1" applyBorder="1"/>
    <xf numFmtId="0" fontId="19" fillId="2" borderId="0" xfId="0" applyFont="1" applyFill="1" applyAlignment="1">
      <alignment horizontal="left" vertical="top"/>
    </xf>
    <xf numFmtId="0" fontId="21" fillId="6" borderId="1" xfId="0" applyFont="1" applyFill="1" applyBorder="1" applyAlignment="1">
      <alignment horizontal="left"/>
    </xf>
    <xf numFmtId="167" fontId="23" fillId="6" borderId="1" xfId="0" applyNumberFormat="1" applyFont="1" applyFill="1" applyBorder="1" applyAlignment="1">
      <alignment horizontal="right"/>
    </xf>
    <xf numFmtId="3" fontId="24" fillId="6" borderId="1" xfId="0" applyNumberFormat="1" applyFont="1" applyFill="1" applyBorder="1"/>
    <xf numFmtId="0" fontId="21" fillId="6" borderId="2" xfId="0" applyFont="1" applyFill="1" applyBorder="1"/>
    <xf numFmtId="167" fontId="23" fillId="6" borderId="3" xfId="0" applyNumberFormat="1" applyFont="1" applyFill="1" applyBorder="1" applyAlignment="1">
      <alignment horizontal="right"/>
    </xf>
    <xf numFmtId="0" fontId="21" fillId="6" borderId="1" xfId="0" applyFont="1" applyFill="1" applyBorder="1"/>
    <xf numFmtId="0" fontId="21" fillId="6" borderId="1" xfId="0" applyFont="1" applyFill="1" applyBorder="1" applyAlignment="1">
      <alignment wrapText="1"/>
    </xf>
    <xf numFmtId="167" fontId="23" fillId="6" borderId="1" xfId="0" applyNumberFormat="1" applyFont="1" applyFill="1" applyBorder="1" applyAlignment="1">
      <alignment horizontal="right" wrapText="1"/>
    </xf>
    <xf numFmtId="3" fontId="24" fillId="6" borderId="3" xfId="0" applyNumberFormat="1" applyFont="1" applyFill="1" applyBorder="1"/>
    <xf numFmtId="170" fontId="23" fillId="6" borderId="1" xfId="0" applyNumberFormat="1" applyFont="1" applyFill="1" applyBorder="1" applyAlignment="1">
      <alignment horizontal="right"/>
    </xf>
    <xf numFmtId="165" fontId="24" fillId="6" borderId="1" xfId="0" applyNumberFormat="1" applyFont="1" applyFill="1" applyBorder="1"/>
    <xf numFmtId="0" fontId="28" fillId="5" borderId="0" xfId="0" applyFont="1" applyFill="1" applyAlignment="1">
      <alignment horizontal="centerContinuous"/>
    </xf>
    <xf numFmtId="0" fontId="19" fillId="5" borderId="0" xfId="0" applyFont="1" applyFill="1" applyAlignment="1">
      <alignment horizontal="centerContinuous"/>
    </xf>
    <xf numFmtId="176" fontId="21" fillId="6" borderId="1" xfId="0" applyNumberFormat="1" applyFont="1" applyFill="1" applyBorder="1"/>
    <xf numFmtId="178" fontId="21" fillId="6" borderId="1" xfId="0" applyNumberFormat="1" applyFont="1" applyFill="1" applyBorder="1"/>
    <xf numFmtId="188" fontId="31" fillId="6" borderId="1" xfId="0" applyNumberFormat="1" applyFont="1" applyFill="1" applyBorder="1"/>
    <xf numFmtId="9" fontId="15" fillId="0" borderId="0" xfId="0" applyNumberFormat="1" applyFont="1" applyAlignment="1">
      <alignment vertical="center"/>
    </xf>
    <xf numFmtId="3" fontId="32" fillId="0" borderId="0" xfId="0" applyNumberFormat="1" applyFont="1"/>
    <xf numFmtId="189" fontId="16" fillId="0" borderId="0" xfId="0" applyNumberFormat="1" applyFont="1"/>
    <xf numFmtId="181" fontId="26" fillId="0" borderId="0" xfId="0" applyNumberFormat="1" applyFont="1"/>
    <xf numFmtId="188" fontId="33" fillId="0" borderId="0" xfId="0" applyNumberFormat="1" applyFont="1"/>
    <xf numFmtId="179" fontId="21" fillId="6" borderId="1" xfId="0" applyNumberFormat="1" applyFont="1" applyFill="1" applyBorder="1"/>
    <xf numFmtId="190" fontId="17" fillId="0" borderId="0" xfId="0" applyNumberFormat="1" applyFont="1"/>
    <xf numFmtId="190" fontId="21" fillId="6" borderId="1" xfId="0" applyNumberFormat="1" applyFont="1" applyFill="1" applyBorder="1"/>
    <xf numFmtId="190" fontId="27" fillId="0" borderId="0" xfId="0" applyNumberFormat="1" applyFont="1"/>
    <xf numFmtId="0" fontId="34" fillId="0" borderId="0" xfId="0" applyFont="1"/>
    <xf numFmtId="0" fontId="36" fillId="7" borderId="5" xfId="0" applyFont="1" applyFill="1" applyBorder="1" applyAlignment="1">
      <alignment horizontal="center"/>
    </xf>
    <xf numFmtId="10" fontId="37" fillId="7" borderId="5" xfId="0" applyNumberFormat="1" applyFont="1" applyFill="1" applyBorder="1" applyAlignment="1">
      <alignment horizontal="center"/>
    </xf>
    <xf numFmtId="191" fontId="38" fillId="0" borderId="5" xfId="0" applyNumberFormat="1" applyFont="1" applyBorder="1" applyAlignment="1">
      <alignment horizontal="center"/>
    </xf>
    <xf numFmtId="191" fontId="37" fillId="8" borderId="6" xfId="0" applyNumberFormat="1" applyFont="1" applyFill="1" applyBorder="1" applyAlignment="1">
      <alignment horizontal="center"/>
    </xf>
    <xf numFmtId="0" fontId="37" fillId="0" borderId="5" xfId="0" applyFont="1" applyBorder="1"/>
    <xf numFmtId="192" fontId="39" fillId="0" borderId="5" xfId="0" applyNumberFormat="1" applyFont="1" applyBorder="1" applyAlignment="1">
      <alignment horizontal="right"/>
    </xf>
    <xf numFmtId="10" fontId="40" fillId="0" borderId="5" xfId="0" applyNumberFormat="1" applyFont="1" applyBorder="1" applyAlignment="1">
      <alignment horizontal="right"/>
    </xf>
    <xf numFmtId="191" fontId="40" fillId="0" borderId="5" xfId="0" applyNumberFormat="1" applyFont="1" applyBorder="1" applyAlignment="1">
      <alignment horizontal="right"/>
    </xf>
    <xf numFmtId="9" fontId="6" fillId="9" borderId="0" xfId="0" applyNumberFormat="1" applyFont="1" applyFill="1" applyAlignment="1">
      <alignment horizontal="left"/>
    </xf>
    <xf numFmtId="9" fontId="41" fillId="9" borderId="0" xfId="0" applyNumberFormat="1" applyFont="1" applyFill="1" applyAlignment="1">
      <alignment horizontal="left"/>
    </xf>
    <xf numFmtId="0" fontId="41" fillId="9" borderId="0" xfId="0" applyFont="1" applyFill="1"/>
    <xf numFmtId="0" fontId="41" fillId="9" borderId="0" xfId="0" applyFont="1" applyFill="1" applyAlignment="1">
      <alignment horizontal="left"/>
    </xf>
    <xf numFmtId="193" fontId="42" fillId="9" borderId="0" xfId="0" applyNumberFormat="1" applyFont="1" applyFill="1"/>
    <xf numFmtId="193" fontId="41" fillId="9" borderId="0" xfId="0" applyNumberFormat="1" applyFont="1" applyFill="1"/>
    <xf numFmtId="193" fontId="43" fillId="9" borderId="0" xfId="0" applyNumberFormat="1" applyFont="1" applyFill="1"/>
    <xf numFmtId="0" fontId="5" fillId="9" borderId="0" xfId="0" applyFont="1" applyFill="1"/>
    <xf numFmtId="0" fontId="29" fillId="9" borderId="0" xfId="0" applyFont="1" applyFill="1" applyAlignment="1">
      <alignment horizontal="center"/>
    </xf>
    <xf numFmtId="0" fontId="4" fillId="9" borderId="0" xfId="0" applyFont="1" applyFill="1" applyAlignment="1">
      <alignment horizontal="center"/>
    </xf>
    <xf numFmtId="9" fontId="35" fillId="10" borderId="0" xfId="0" applyNumberFormat="1" applyFont="1" applyFill="1" applyAlignment="1">
      <alignment horizontal="left"/>
    </xf>
    <xf numFmtId="172" fontId="35" fillId="10" borderId="0" xfId="0" applyNumberFormat="1" applyFont="1" applyFill="1" applyAlignment="1">
      <alignment horizontal="left"/>
    </xf>
    <xf numFmtId="9" fontId="13" fillId="9" borderId="0" xfId="0" applyNumberFormat="1" applyFont="1" applyFill="1"/>
    <xf numFmtId="9" fontId="36" fillId="11" borderId="0" xfId="0" applyNumberFormat="1" applyFont="1" applyFill="1" applyAlignment="1">
      <alignment horizontal="left"/>
    </xf>
    <xf numFmtId="165" fontId="36" fillId="11" borderId="0" xfId="0" applyNumberFormat="1" applyFont="1" applyFill="1" applyAlignment="1">
      <alignment horizontal="center"/>
    </xf>
    <xf numFmtId="165" fontId="44" fillId="11" borderId="0" xfId="0" applyNumberFormat="1" applyFont="1" applyFill="1" applyAlignment="1">
      <alignment horizontal="center"/>
    </xf>
    <xf numFmtId="164" fontId="42" fillId="9" borderId="0" xfId="0" applyNumberFormat="1" applyFont="1" applyFill="1"/>
    <xf numFmtId="0" fontId="0" fillId="12" borderId="0" xfId="0" applyFill="1"/>
    <xf numFmtId="0" fontId="45" fillId="12" borderId="0" xfId="0" applyFont="1" applyFill="1"/>
    <xf numFmtId="0" fontId="45" fillId="0" borderId="0" xfId="0" applyFont="1"/>
    <xf numFmtId="0" fontId="46" fillId="0" borderId="0" xfId="0" applyFont="1"/>
    <xf numFmtId="0" fontId="49" fillId="0" borderId="0" xfId="0" applyFont="1"/>
    <xf numFmtId="0" fontId="50" fillId="0" borderId="0" xfId="0" applyFont="1"/>
    <xf numFmtId="0" fontId="47" fillId="0" borderId="0" xfId="0" applyFont="1" applyAlignment="1">
      <alignment horizontal="left"/>
    </xf>
    <xf numFmtId="0" fontId="48" fillId="0" borderId="0" xfId="0" applyFont="1" applyAlignment="1">
      <alignment horizontal="left"/>
    </xf>
    <xf numFmtId="0" fontId="51" fillId="0" borderId="0" xfId="0" applyFont="1"/>
    <xf numFmtId="0" fontId="34" fillId="13" borderId="0" xfId="0" applyFont="1" applyFill="1"/>
    <xf numFmtId="0" fontId="52" fillId="13" borderId="0" xfId="0" applyFont="1" applyFill="1"/>
    <xf numFmtId="194" fontId="46" fillId="0" borderId="0" xfId="0" applyNumberFormat="1" applyFont="1" applyAlignment="1">
      <alignment horizontal="left"/>
    </xf>
    <xf numFmtId="195" fontId="46" fillId="0" borderId="0" xfId="0" applyNumberFormat="1" applyFont="1"/>
    <xf numFmtId="0" fontId="3" fillId="2" borderId="0" xfId="0" applyFont="1" applyFill="1" applyAlignment="1">
      <alignment horizontal="center"/>
    </xf>
    <xf numFmtId="0" fontId="1" fillId="0" borderId="0" xfId="0" applyFont="1"/>
    <xf numFmtId="0" fontId="19" fillId="2" borderId="0" xfId="0" applyFont="1" applyFill="1" applyAlignment="1">
      <alignment horizontal="center"/>
    </xf>
    <xf numFmtId="0" fontId="16" fillId="0" borderId="0" xfId="0" applyFont="1"/>
    <xf numFmtId="0" fontId="11" fillId="2" borderId="0" xfId="0" applyFont="1" applyFill="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9B00"/>
      <rgbColor rgb="FF000080"/>
      <rgbColor rgb="FF808000"/>
      <rgbColor rgb="FF800080"/>
      <rgbColor rgb="FF156082"/>
      <rgbColor rgb="FFC0C0C0"/>
      <rgbColor rgb="FF7F7F7F"/>
      <rgbColor rgb="FF9999FF"/>
      <rgbColor rgb="FF993366"/>
      <rgbColor rgb="FFF2F2F2"/>
      <rgbColor rgb="FFDC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E284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31750</xdr:colOff>
      <xdr:row>3</xdr:row>
      <xdr:rowOff>148260</xdr:rowOff>
    </xdr:from>
    <xdr:to>
      <xdr:col>2</xdr:col>
      <xdr:colOff>704850</xdr:colOff>
      <xdr:row>4</xdr:row>
      <xdr:rowOff>537540</xdr:rowOff>
    </xdr:to>
    <xdr:pic>
      <xdr:nvPicPr>
        <xdr:cNvPr id="3" name="Picture 2" descr="Official logo of Alphabet Inc.">
          <a:extLst>
            <a:ext uri="{FF2B5EF4-FFF2-40B4-BE49-F238E27FC236}">
              <a16:creationId xmlns:a16="http://schemas.microsoft.com/office/drawing/2014/main" id="{1B8E7C3B-2294-BCC9-DE54-40BE4703A0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50" y="681660"/>
          <a:ext cx="2324100" cy="567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dabra, Nathan" id="{37FE612B-48A4-DB4D-B906-FDD9346208C0}" userId="S::na472@student.le.ac.uk::bad42f97-2d70-4de1-b204-a02fe157a450" providerId="AD"/>
</personList>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1" dT="2026-10-26T16:31:29.17" personId="{37FE612B-48A4-DB4D-B906-FDD9346208C0}" id="{413D42AD-D3BD-3548-8679-6FCD0BFD5888}">
    <text>Forecast assumptions were based on Alphabet’s FY2024 and FY2025 actual results.Revenue growth was assumed to decline from 14% in FY2026E to 10% in FY2030E, while CapEx was assumed to peak at 30% of revenue. are judgement-based assumptions, anchored to Alphabet’s recent actual performance and then reduced gradually over the five-year forecast period as it is unrealistic to assume a company grows at 14–15% forever.</text>
  </threadedComment>
</ThreadedComments>
</file>

<file path=xl/threadedComments/threadedComment2.xml><?xml version="1.0" encoding="utf-8"?>
<ThreadedComments xmlns="http://schemas.microsoft.com/office/spreadsheetml/2018/threadedcomments" xmlns:x="http://schemas.openxmlformats.org/spreadsheetml/2006/main">
  <threadedComment ref="K8" dT="2026-10-26T16:38:30.53" personId="{37FE612B-48A4-DB4D-B906-FDD9346208C0}" id="{A2E71D78-4D40-BE41-8AB7-4BFD5A0993BC}">
    <text>the forecast cells use: Straight line Revenue forecast: Forecast Revenue = Prior Year Revenue * (1+Revenue Growth) FY2025 was $402,836 I assumed revenue growth of 14% $402,836*1.14 = 459,233</text>
  </threadedComment>
  <threadedComment ref="K17" dT="2026-10-26T16:47:20.50" personId="{37FE612B-48A4-DB4D-B906-FDD9346208C0}" id="{CE135096-BC3B-1943-96ED-671421ED90CC}">
    <text xml:space="preserve">I forecast gross margin. Gross profit=Revenue ×Gross Margin. Revenue Cost = Revenue - Gross Profit. FY2025:Rev: 402,836, Cost: 162,535 Gross Pro: 240,301 = Gross Margin: 59.7%.I assumed gross margin would start at 59.5% in FY2026E and improve gradually to 60.4 because Google Cloud is growing quickly and generally becomes more profitable at scaleHowever, the improvement is deliberately small because Alphabet is also investing heavily in AI infrastructure, which can put upward pressure on costs
</text>
  </threadedComment>
  <threadedComment ref="K26" dT="2026-10-26T17:02:32.91" personId="{37FE612B-48A4-DB4D-B906-FDD9346208C0}" id="{0A328F13-6899-6845-BB57-E64D446963DF}">
    <text>Operating expenses increase because they are forecast as a percentage of revenue, and revenue is forecast to grow every year.</text>
  </threadedComment>
  <threadedComment ref="B48" dT="2026-10-26T16:23:23.44" personId="{37FE612B-48A4-DB4D-B906-FDD9346208C0}" id="{2D80F552-FCC8-8E4D-B5E4-89997D49F2CA}">
    <text>An income statement shows a company’s revenue, expenses and profit over a period. Revenue − Cost of sales = Gross profit
Gross profit − Operating expenses = Operating profit
Operating profit − Interest − Tax = Net profit</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F17"/>
  <sheetViews>
    <sheetView showGridLines="0" tabSelected="1" zoomScaleNormal="100" workbookViewId="0">
      <selection activeCell="D12" sqref="D12"/>
    </sheetView>
  </sheetViews>
  <sheetFormatPr baseColWidth="10" defaultColWidth="8.5" defaultRowHeight="14" x14ac:dyDescent="0.15"/>
  <cols>
    <col min="1" max="3" width="10.83203125" style="214" customWidth="1"/>
    <col min="4" max="4" width="8.5" style="215" customWidth="1"/>
    <col min="5" max="5" width="18.6640625" style="215" bestFit="1" customWidth="1"/>
    <col min="6" max="6" width="19.83203125" style="215" bestFit="1" customWidth="1"/>
    <col min="7" max="7" width="8.5" style="215" customWidth="1"/>
    <col min="8" max="16384" width="8.5" style="215"/>
  </cols>
  <sheetData>
    <row r="5" spans="2:6" ht="43.75" customHeight="1" x14ac:dyDescent="0.4">
      <c r="B5" s="213"/>
      <c r="E5" s="220" t="s">
        <v>0</v>
      </c>
      <c r="F5" s="216"/>
    </row>
    <row r="6" spans="2:6" ht="24.5" customHeight="1" x14ac:dyDescent="0.25">
      <c r="E6" s="219" t="s">
        <v>1</v>
      </c>
      <c r="F6" s="216"/>
    </row>
    <row r="8" spans="2:6" x14ac:dyDescent="0.15">
      <c r="E8" s="216"/>
      <c r="F8" s="216"/>
    </row>
    <row r="9" spans="2:6" ht="24.5" customHeight="1" x14ac:dyDescent="0.25">
      <c r="E9" s="217" t="s">
        <v>2</v>
      </c>
      <c r="F9" s="216"/>
    </row>
    <row r="10" spans="2:6" x14ac:dyDescent="0.15">
      <c r="E10" s="216"/>
      <c r="F10" s="216"/>
    </row>
    <row r="11" spans="2:6" x14ac:dyDescent="0.15">
      <c r="E11" s="216" t="s">
        <v>3</v>
      </c>
      <c r="F11" s="216"/>
    </row>
    <row r="12" spans="2:6" x14ac:dyDescent="0.15">
      <c r="E12" s="225" t="s">
        <v>229</v>
      </c>
      <c r="F12" s="224">
        <v>46231</v>
      </c>
    </row>
    <row r="13" spans="2:6" x14ac:dyDescent="0.15">
      <c r="E13" s="216" t="s">
        <v>230</v>
      </c>
      <c r="F13" s="216" t="s">
        <v>4</v>
      </c>
    </row>
    <row r="14" spans="2:6" x14ac:dyDescent="0.15">
      <c r="E14" s="216"/>
      <c r="F14" s="216"/>
    </row>
    <row r="17" spans="5:5" x14ac:dyDescent="0.15">
      <c r="E17" s="218"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K31"/>
  <sheetViews>
    <sheetView showGridLines="0" zoomScale="142" workbookViewId="0">
      <selection activeCell="G25" sqref="G25"/>
    </sheetView>
  </sheetViews>
  <sheetFormatPr baseColWidth="10" defaultColWidth="8.83203125" defaultRowHeight="14" x14ac:dyDescent="0.15"/>
  <cols>
    <col min="1" max="1" width="2.83203125" style="1" customWidth="1"/>
    <col min="2" max="2" width="33.5" style="1" customWidth="1"/>
    <col min="3" max="9" width="9.5" style="1" customWidth="1"/>
    <col min="10" max="10" width="8.83203125" style="1" customWidth="1"/>
    <col min="11" max="11" width="10.1640625" style="1" customWidth="1"/>
    <col min="12" max="12" width="8.83203125" style="1" customWidth="1"/>
    <col min="13" max="16384" width="8.83203125" style="1"/>
  </cols>
  <sheetData>
    <row r="2" spans="2:11" ht="19.25" customHeight="1" x14ac:dyDescent="0.2">
      <c r="B2" s="2" t="s">
        <v>6</v>
      </c>
    </row>
    <row r="4" spans="2:11" x14ac:dyDescent="0.15">
      <c r="B4" s="3" t="s">
        <v>7</v>
      </c>
      <c r="C4" s="226" t="s">
        <v>8</v>
      </c>
      <c r="D4" s="227"/>
      <c r="E4" s="226" t="s">
        <v>9</v>
      </c>
      <c r="F4" s="227"/>
      <c r="G4" s="227"/>
      <c r="H4" s="227"/>
      <c r="I4" s="227"/>
    </row>
    <row r="5" spans="2:11" x14ac:dyDescent="0.15">
      <c r="B5" s="4"/>
      <c r="C5" s="112" t="s">
        <v>10</v>
      </c>
      <c r="D5" s="112" t="s">
        <v>11</v>
      </c>
      <c r="E5" s="17" t="s">
        <v>12</v>
      </c>
      <c r="F5" s="17" t="s">
        <v>13</v>
      </c>
      <c r="G5" s="17" t="s">
        <v>14</v>
      </c>
      <c r="H5" s="17" t="s">
        <v>15</v>
      </c>
      <c r="I5" s="17" t="s">
        <v>16</v>
      </c>
    </row>
    <row r="6" spans="2:11" x14ac:dyDescent="0.15">
      <c r="B6" s="5"/>
      <c r="C6" s="6"/>
      <c r="D6" s="6"/>
      <c r="E6" s="6"/>
      <c r="F6" s="6"/>
      <c r="G6" s="6"/>
      <c r="H6" s="6"/>
      <c r="I6" s="6"/>
    </row>
    <row r="7" spans="2:11" x14ac:dyDescent="0.15">
      <c r="B7" s="7" t="s">
        <v>17</v>
      </c>
      <c r="C7" s="8"/>
      <c r="D7" s="8"/>
      <c r="E7" s="8"/>
      <c r="F7" s="8"/>
      <c r="G7" s="8"/>
      <c r="H7" s="8"/>
      <c r="I7" s="8"/>
    </row>
    <row r="8" spans="2:11" x14ac:dyDescent="0.15">
      <c r="B8" s="9" t="s">
        <v>18</v>
      </c>
      <c r="C8" s="10">
        <f>('Income Statement'!D11-'Income Statement'!C11)/'Income Statement'!C11</f>
        <v>0.13866243322901553</v>
      </c>
      <c r="D8" s="10">
        <f>('Income Statement'!E11-'Income Statement'!D11)/'Income Statement'!D11</f>
        <v>0.15090081081544376</v>
      </c>
      <c r="E8" s="11">
        <v>0.14000000000000001</v>
      </c>
      <c r="F8" s="11">
        <v>0.13</v>
      </c>
      <c r="G8" s="11">
        <v>0.12</v>
      </c>
      <c r="H8" s="11">
        <v>0.11</v>
      </c>
      <c r="I8" s="11">
        <v>0.1</v>
      </c>
      <c r="K8" s="12"/>
    </row>
    <row r="9" spans="2:11" x14ac:dyDescent="0.15">
      <c r="B9" s="13"/>
      <c r="C9" s="10"/>
      <c r="D9" s="10"/>
      <c r="E9" s="10"/>
      <c r="F9" s="10"/>
      <c r="G9" s="10"/>
      <c r="H9" s="10"/>
      <c r="I9" s="10"/>
      <c r="K9" s="12"/>
    </row>
    <row r="10" spans="2:11" x14ac:dyDescent="0.15">
      <c r="B10" s="7" t="s">
        <v>19</v>
      </c>
      <c r="C10" s="14"/>
      <c r="D10" s="14"/>
      <c r="E10" s="14"/>
      <c r="F10" s="14"/>
      <c r="G10" s="14"/>
      <c r="H10" s="14"/>
      <c r="I10" s="14"/>
    </row>
    <row r="11" spans="2:11" x14ac:dyDescent="0.15">
      <c r="B11" s="99" t="s">
        <v>20</v>
      </c>
      <c r="C11" s="10">
        <f>'Income Statement'!D19/'Income Statement'!D11</f>
        <v>0.58200435406179107</v>
      </c>
      <c r="D11" s="10">
        <f>'Income Statement'!E19/'Income Statement'!E11</f>
        <v>0.59652315086039975</v>
      </c>
      <c r="E11" s="11">
        <v>0.59499999999999997</v>
      </c>
      <c r="F11" s="11">
        <v>0.59799999999999998</v>
      </c>
      <c r="G11" s="11">
        <v>0.6</v>
      </c>
      <c r="H11" s="11">
        <v>0.60199999999999998</v>
      </c>
      <c r="I11" s="11">
        <v>0.60399999999999998</v>
      </c>
    </row>
    <row r="12" spans="2:11" x14ac:dyDescent="0.15">
      <c r="B12" s="9" t="s">
        <v>21</v>
      </c>
      <c r="C12" s="10">
        <f>'Income Statement'!D22/'Income Statement'!D11</f>
        <v>0.14092418104211785</v>
      </c>
      <c r="D12" s="10">
        <f>'Income Statement'!E22/'Income Statement'!E11</f>
        <v>0.15164235569810047</v>
      </c>
      <c r="E12" s="11">
        <v>0.152</v>
      </c>
      <c r="F12" s="11">
        <v>0.15</v>
      </c>
      <c r="G12" s="11">
        <v>0.14799999999999999</v>
      </c>
      <c r="H12" s="11">
        <v>0.14599999999999999</v>
      </c>
      <c r="I12" s="11">
        <v>0.14399999999999999</v>
      </c>
    </row>
    <row r="13" spans="2:11" x14ac:dyDescent="0.15">
      <c r="B13" s="9" t="s">
        <v>22</v>
      </c>
      <c r="C13" s="10">
        <f>'Income Statement'!D23/'Income Statement'!D11</f>
        <v>7.94473427080893E-2</v>
      </c>
      <c r="D13" s="10">
        <f>'Income Statement'!E23/'Income Statement'!E11</f>
        <v>7.1227497045944249E-2</v>
      </c>
      <c r="E13" s="11">
        <v>7.0999999999999994E-2</v>
      </c>
      <c r="F13" s="11">
        <v>7.0499999999999993E-2</v>
      </c>
      <c r="G13" s="11">
        <v>7.0000000000000007E-2</v>
      </c>
      <c r="H13" s="11">
        <v>6.9500000000000006E-2</v>
      </c>
      <c r="I13" s="11">
        <v>6.9000000000000006E-2</v>
      </c>
    </row>
    <row r="14" spans="2:11" x14ac:dyDescent="0.15">
      <c r="B14" s="9" t="s">
        <v>23</v>
      </c>
      <c r="C14" s="10">
        <f>'Income Statement'!D24/'Income Statement'!D11</f>
        <v>4.0535058197007014E-2</v>
      </c>
      <c r="D14" s="10">
        <f>'Income Statement'!E24/'Income Statement'!E11</f>
        <v>5.3326912192554789E-2</v>
      </c>
      <c r="E14" s="11">
        <v>5.2999999999999999E-2</v>
      </c>
      <c r="F14" s="11">
        <v>5.1999999999999998E-2</v>
      </c>
      <c r="G14" s="11">
        <v>5.0999999999999997E-2</v>
      </c>
      <c r="H14" s="11">
        <v>0.05</v>
      </c>
      <c r="I14" s="11">
        <v>0.05</v>
      </c>
    </row>
    <row r="15" spans="2:11" x14ac:dyDescent="0.15">
      <c r="B15" s="100" t="s">
        <v>24</v>
      </c>
      <c r="C15" s="15">
        <f>'Income Statement'!D28/'Income Statement'!D11</f>
        <v>0.32109777211457696</v>
      </c>
      <c r="D15" s="15">
        <f>'Income Statement'!E28/'Income Statement'!E11</f>
        <v>0.32032638592380025</v>
      </c>
      <c r="E15" s="15">
        <f>'Income Statement'!F28/'Income Statement'!F11</f>
        <v>0.31900000000000006</v>
      </c>
      <c r="F15" s="15">
        <f>'Income Statement'!G28/'Income Statement'!G11</f>
        <v>0.32549999999999996</v>
      </c>
      <c r="G15" s="15">
        <f>'Income Statement'!H28/'Income Statement'!H11</f>
        <v>0.33099999999999996</v>
      </c>
      <c r="H15" s="15">
        <f>'Income Statement'!I28/'Income Statement'!I11</f>
        <v>0.33650000000000002</v>
      </c>
      <c r="I15" s="15">
        <f>'Income Statement'!J28/'Income Statement'!J11</f>
        <v>0.34099999999999997</v>
      </c>
    </row>
    <row r="16" spans="2:11" x14ac:dyDescent="0.15">
      <c r="B16" s="9" t="s">
        <v>25</v>
      </c>
      <c r="C16" s="10">
        <f>'Income Statement'!D34/'Income Statement'!D32</f>
        <v>0.16401118390852565</v>
      </c>
      <c r="D16" s="10">
        <f>'Income Statement'!E34/'Income Statement'!E32</f>
        <v>0.137225643156662</v>
      </c>
      <c r="E16" s="11">
        <v>0.18</v>
      </c>
      <c r="F16" s="11">
        <v>0.18</v>
      </c>
      <c r="G16" s="11">
        <v>0.18</v>
      </c>
      <c r="H16" s="11">
        <v>0.18</v>
      </c>
      <c r="I16" s="11">
        <v>0.18</v>
      </c>
    </row>
    <row r="17" spans="2:9" x14ac:dyDescent="0.15">
      <c r="B17" s="13"/>
      <c r="C17" s="10"/>
      <c r="D17" s="10"/>
      <c r="E17" s="10"/>
      <c r="F17" s="10"/>
      <c r="G17" s="10"/>
      <c r="H17" s="10"/>
      <c r="I17" s="10"/>
    </row>
    <row r="18" spans="2:9" x14ac:dyDescent="0.15">
      <c r="B18" s="7" t="s">
        <v>26</v>
      </c>
      <c r="C18" s="14"/>
      <c r="D18" s="14"/>
      <c r="E18" s="14"/>
      <c r="F18" s="14"/>
      <c r="G18" s="14"/>
      <c r="H18" s="14"/>
      <c r="I18" s="14"/>
    </row>
    <row r="19" spans="2:9" x14ac:dyDescent="0.15">
      <c r="B19" s="9" t="s">
        <v>27</v>
      </c>
      <c r="C19" s="10">
        <f>ABS('Cash Flow Statement'!D30)/'Income Statement'!D11</f>
        <v>0.15009228096840735</v>
      </c>
      <c r="D19" s="10">
        <f>ABS('Cash Flow Statement'!E30)/'Income Statement'!E11</f>
        <v>0.22700801318650765</v>
      </c>
      <c r="E19" s="11">
        <v>0.3</v>
      </c>
      <c r="F19" s="11">
        <v>0.27</v>
      </c>
      <c r="G19" s="11">
        <v>0.24</v>
      </c>
      <c r="H19" s="11">
        <v>0.22</v>
      </c>
      <c r="I19" s="11">
        <v>0.2</v>
      </c>
    </row>
    <row r="20" spans="2:9" x14ac:dyDescent="0.15">
      <c r="B20" s="9" t="s">
        <v>28</v>
      </c>
      <c r="C20" s="10">
        <f>'Cash Flow Statement'!D11/'Income Statement'!D11</f>
        <v>4.3743464621819446E-2</v>
      </c>
      <c r="D20" s="10">
        <f>'Cash Flow Statement'!E11/'Income Statement'!E11</f>
        <v>5.2468001866764639E-2</v>
      </c>
      <c r="E20" s="11">
        <v>0.06</v>
      </c>
      <c r="F20" s="11">
        <v>6.5000000000000002E-2</v>
      </c>
      <c r="G20" s="11">
        <v>7.0000000000000007E-2</v>
      </c>
      <c r="H20" s="11">
        <v>7.1999999999999995E-2</v>
      </c>
      <c r="I20" s="11">
        <v>7.3999999999999996E-2</v>
      </c>
    </row>
    <row r="21" spans="2:9" x14ac:dyDescent="0.15">
      <c r="B21" s="9" t="s">
        <v>29</v>
      </c>
      <c r="C21" s="10">
        <f>ABS('Cash Flow Statement'!D32)/'Income Statement'!D11</f>
        <v>0.2476415498631499</v>
      </c>
      <c r="D21" s="10">
        <f>ABS('Cash Flow Statement'!E32)/'Income Statement'!E11</f>
        <v>0.25760607294283527</v>
      </c>
      <c r="E21" s="11">
        <v>0.22</v>
      </c>
      <c r="F21" s="11">
        <v>0.2</v>
      </c>
      <c r="G21" s="11">
        <v>0.18</v>
      </c>
      <c r="H21" s="11">
        <v>0.16</v>
      </c>
      <c r="I21" s="11">
        <v>0.15</v>
      </c>
    </row>
    <row r="22" spans="2:9" x14ac:dyDescent="0.15">
      <c r="B22" s="13"/>
      <c r="C22" s="10"/>
      <c r="D22" s="10"/>
      <c r="E22" s="10"/>
      <c r="F22" s="10"/>
      <c r="G22" s="10"/>
      <c r="H22" s="10"/>
      <c r="I22" s="10"/>
    </row>
    <row r="23" spans="2:9" x14ac:dyDescent="0.15">
      <c r="B23" s="7" t="s">
        <v>30</v>
      </c>
      <c r="C23" s="14"/>
      <c r="D23" s="14"/>
      <c r="E23" s="14"/>
      <c r="F23" s="14"/>
      <c r="G23" s="14"/>
      <c r="H23" s="14"/>
      <c r="I23" s="14"/>
    </row>
    <row r="24" spans="2:9" x14ac:dyDescent="0.15">
      <c r="B24" s="9" t="s">
        <v>31</v>
      </c>
      <c r="C24" s="10">
        <f>'Balance Sheet'!D14/'Income Statement'!D11</f>
        <v>0.1495351667628522</v>
      </c>
      <c r="D24" s="10">
        <f>'Balance Sheet'!E14/'Income Statement'!E11</f>
        <v>0.15610819291225214</v>
      </c>
      <c r="E24" s="11">
        <v>0.156</v>
      </c>
      <c r="F24" s="11">
        <v>0.156</v>
      </c>
      <c r="G24" s="11">
        <v>0.156</v>
      </c>
      <c r="H24" s="11">
        <v>0.156</v>
      </c>
      <c r="I24" s="11">
        <v>0.156</v>
      </c>
    </row>
    <row r="25" spans="2:9" x14ac:dyDescent="0.15">
      <c r="B25" s="9" t="s">
        <v>32</v>
      </c>
      <c r="C25" s="10">
        <f>'Balance Sheet'!D15/'Income Statement'!D11</f>
        <v>0</v>
      </c>
      <c r="D25" s="10">
        <f>'Balance Sheet'!E15/'Income Statement'!E11</f>
        <v>0</v>
      </c>
      <c r="E25" s="11">
        <v>0</v>
      </c>
      <c r="F25" s="11">
        <v>0</v>
      </c>
      <c r="G25" s="11">
        <v>0</v>
      </c>
      <c r="H25" s="11">
        <v>0</v>
      </c>
      <c r="I25" s="11">
        <v>0</v>
      </c>
    </row>
    <row r="26" spans="2:9" x14ac:dyDescent="0.15">
      <c r="B26" s="9" t="s">
        <v>33</v>
      </c>
      <c r="C26" s="10">
        <f>'Balance Sheet'!D35/'Income Statement'!D11</f>
        <v>2.2818826460353468E-2</v>
      </c>
      <c r="D26" s="10">
        <f>'Balance Sheet'!E35/'Income Statement'!E11</f>
        <v>3.0285277383352033E-2</v>
      </c>
      <c r="E26" s="11">
        <v>0.03</v>
      </c>
      <c r="F26" s="11">
        <v>0.03</v>
      </c>
      <c r="G26" s="11">
        <v>0.03</v>
      </c>
      <c r="H26" s="11">
        <v>0.03</v>
      </c>
      <c r="I26" s="11">
        <v>0.03</v>
      </c>
    </row>
    <row r="28" spans="2:9" x14ac:dyDescent="0.15">
      <c r="B28" s="7" t="s">
        <v>34</v>
      </c>
      <c r="C28" s="4"/>
      <c r="D28" s="4"/>
      <c r="E28" s="4"/>
      <c r="F28" s="4"/>
      <c r="G28" s="4"/>
      <c r="H28" s="4"/>
      <c r="I28" s="4"/>
    </row>
    <row r="29" spans="2:9" x14ac:dyDescent="0.15">
      <c r="B29" s="9" t="s">
        <v>35</v>
      </c>
      <c r="C29" s="10" t="e">
        <f>(ABS('Cash Flow Statement'!D45)-ABS('Cash Flow Statement'!C45))/ABS('Cash Flow Statement'!C45)</f>
        <v>#DIV/0!</v>
      </c>
      <c r="D29" s="10">
        <f>(ABS('Cash Flow Statement'!E45)-ABS('Cash Flow Statement'!D45))/ABS('Cash Flow Statement'!D45)</f>
        <v>0.36479695776178189</v>
      </c>
      <c r="E29" s="11">
        <v>0.1</v>
      </c>
      <c r="F29" s="11">
        <v>0.1</v>
      </c>
      <c r="G29" s="11">
        <v>0.09</v>
      </c>
      <c r="H29" s="11">
        <v>0.09</v>
      </c>
      <c r="I29" s="11">
        <v>0.08</v>
      </c>
    </row>
    <row r="31" spans="2:9" x14ac:dyDescent="0.15"/>
  </sheetData>
  <mergeCells count="2">
    <mergeCell ref="E4:I4"/>
    <mergeCell ref="C4:D4"/>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48"/>
  <sheetViews>
    <sheetView showGridLines="0" topLeftCell="A2" zoomScale="112" workbookViewId="0">
      <selection activeCell="K26" sqref="K26"/>
    </sheetView>
  </sheetViews>
  <sheetFormatPr baseColWidth="10" defaultColWidth="8.5" defaultRowHeight="14" x14ac:dyDescent="0.15"/>
  <cols>
    <col min="1" max="1" width="2.83203125" style="51" customWidth="1"/>
    <col min="2" max="2" width="40.1640625" style="51" customWidth="1"/>
    <col min="3" max="10" width="9.5" style="51" customWidth="1"/>
    <col min="11" max="11" width="8.5" style="51" customWidth="1"/>
    <col min="12" max="16384" width="8.5" style="51"/>
  </cols>
  <sheetData>
    <row r="2" spans="2:11" ht="18" customHeight="1" x14ac:dyDescent="0.15">
      <c r="B2" s="50" t="s">
        <v>36</v>
      </c>
    </row>
    <row r="3" spans="2:11" ht="14.25" customHeight="1" x14ac:dyDescent="0.15">
      <c r="C3" s="52"/>
      <c r="D3" s="52"/>
      <c r="E3" s="52"/>
    </row>
    <row r="4" spans="2:11" ht="14.25" customHeight="1" x14ac:dyDescent="0.15">
      <c r="B4" s="53" t="s">
        <v>37</v>
      </c>
      <c r="C4" s="228" t="s">
        <v>8</v>
      </c>
      <c r="D4" s="229"/>
      <c r="E4" s="229"/>
      <c r="F4" s="228" t="s">
        <v>9</v>
      </c>
      <c r="G4" s="229"/>
      <c r="H4" s="229"/>
      <c r="I4" s="229"/>
      <c r="J4" s="229"/>
    </row>
    <row r="5" spans="2:11" ht="14.25" customHeight="1" x14ac:dyDescent="0.15">
      <c r="B5" s="54"/>
      <c r="C5" s="121" t="s">
        <v>38</v>
      </c>
      <c r="D5" s="121" t="s">
        <v>10</v>
      </c>
      <c r="E5" s="121" t="s">
        <v>11</v>
      </c>
      <c r="F5" s="122" t="s">
        <v>12</v>
      </c>
      <c r="G5" s="122" t="s">
        <v>13</v>
      </c>
      <c r="H5" s="122" t="s">
        <v>14</v>
      </c>
      <c r="I5" s="122" t="s">
        <v>15</v>
      </c>
      <c r="J5" s="122" t="s">
        <v>16</v>
      </c>
    </row>
    <row r="6" spans="2:11" ht="14.25" customHeight="1" x14ac:dyDescent="0.15">
      <c r="B6" s="56"/>
      <c r="C6" s="57"/>
      <c r="D6" s="57"/>
      <c r="E6" s="57"/>
      <c r="F6" s="57"/>
      <c r="G6" s="57"/>
      <c r="H6" s="57"/>
      <c r="I6" s="57"/>
      <c r="J6" s="57"/>
    </row>
    <row r="7" spans="2:11" ht="14.25" customHeight="1" x14ac:dyDescent="0.15">
      <c r="B7" s="58" t="s">
        <v>39</v>
      </c>
      <c r="C7" s="54"/>
      <c r="D7" s="54"/>
      <c r="E7" s="54"/>
      <c r="F7" s="59"/>
      <c r="G7" s="59"/>
      <c r="H7" s="59"/>
      <c r="I7" s="59"/>
      <c r="J7" s="59"/>
    </row>
    <row r="8" spans="2:11" ht="14.25" customHeight="1" x14ac:dyDescent="0.15">
      <c r="B8" s="60" t="s">
        <v>40</v>
      </c>
      <c r="C8" s="61">
        <v>307394</v>
      </c>
      <c r="D8" s="61">
        <v>350018</v>
      </c>
      <c r="E8" s="61">
        <v>402836</v>
      </c>
      <c r="F8" s="62">
        <f>E8*(1+Assumptions!E8)</f>
        <v>459233.04000000004</v>
      </c>
      <c r="G8" s="62">
        <f>F8*(1+Assumptions!F8)</f>
        <v>518933.33519999997</v>
      </c>
      <c r="H8" s="62">
        <f>G8*(1+Assumptions!G8)</f>
        <v>581205.33542400005</v>
      </c>
      <c r="I8" s="62">
        <f>H8*(1+Assumptions!H8)</f>
        <v>645137.92232064006</v>
      </c>
      <c r="J8" s="62">
        <f>I8*(1+Assumptions!I8)</f>
        <v>709651.71455270413</v>
      </c>
    </row>
    <row r="9" spans="2:11" ht="14.25" customHeight="1" x14ac:dyDescent="0.15">
      <c r="B9" s="60"/>
      <c r="C9" s="103">
        <v>0</v>
      </c>
      <c r="D9" s="103">
        <v>0</v>
      </c>
      <c r="E9" s="103">
        <v>0</v>
      </c>
      <c r="F9" s="145">
        <f>E9*(1+Assumptions!E8)</f>
        <v>0</v>
      </c>
      <c r="G9" s="145">
        <f>F9*(1+Assumptions!F8)</f>
        <v>0</v>
      </c>
      <c r="H9" s="145">
        <f>G9*(1+Assumptions!G8)</f>
        <v>0</v>
      </c>
      <c r="I9" s="145">
        <f>H9*(1+Assumptions!H8)</f>
        <v>0</v>
      </c>
      <c r="J9" s="145">
        <f>I9*(1+Assumptions!I8)</f>
        <v>0</v>
      </c>
    </row>
    <row r="10" spans="2:11" ht="14.25" customHeight="1" x14ac:dyDescent="0.15">
      <c r="B10" s="60"/>
      <c r="C10" s="63"/>
      <c r="D10" s="63"/>
      <c r="E10" s="63"/>
      <c r="F10" s="64"/>
      <c r="G10" s="64"/>
      <c r="H10" s="64"/>
      <c r="I10" s="64"/>
      <c r="J10" s="64"/>
    </row>
    <row r="11" spans="2:11" ht="14.25" customHeight="1" x14ac:dyDescent="0.15">
      <c r="B11" s="162" t="s">
        <v>41</v>
      </c>
      <c r="C11" s="163">
        <f t="shared" ref="C11:J11" si="0">SUM(C8:C9)</f>
        <v>307394</v>
      </c>
      <c r="D11" s="163">
        <f t="shared" si="0"/>
        <v>350018</v>
      </c>
      <c r="E11" s="163">
        <f t="shared" si="0"/>
        <v>402836</v>
      </c>
      <c r="F11" s="164">
        <f t="shared" si="0"/>
        <v>459233.04000000004</v>
      </c>
      <c r="G11" s="164">
        <f t="shared" si="0"/>
        <v>518933.33519999997</v>
      </c>
      <c r="H11" s="164">
        <f t="shared" si="0"/>
        <v>581205.33542400005</v>
      </c>
      <c r="I11" s="164">
        <f t="shared" si="0"/>
        <v>645137.92232064006</v>
      </c>
      <c r="J11" s="164">
        <f t="shared" si="0"/>
        <v>709651.71455270413</v>
      </c>
    </row>
    <row r="12" spans="2:11" ht="14.25" customHeight="1" x14ac:dyDescent="0.15">
      <c r="B12" s="65"/>
      <c r="C12" s="66"/>
      <c r="D12" s="66"/>
      <c r="E12" s="66"/>
      <c r="F12" s="67"/>
      <c r="G12" s="67"/>
      <c r="H12" s="67"/>
      <c r="I12" s="67"/>
      <c r="J12" s="67"/>
    </row>
    <row r="13" spans="2:11" ht="14.25" hidden="1" customHeight="1" x14ac:dyDescent="0.15">
      <c r="B13" s="68" t="s">
        <v>42</v>
      </c>
      <c r="C13" s="69"/>
      <c r="D13" s="69"/>
      <c r="E13" s="69"/>
      <c r="F13" s="64"/>
      <c r="G13" s="64"/>
      <c r="H13" s="64"/>
      <c r="I13" s="64"/>
      <c r="J13" s="64"/>
    </row>
    <row r="14" spans="2:11" ht="14.25" hidden="1" customHeight="1" x14ac:dyDescent="0.15">
      <c r="B14" s="60" t="s">
        <v>43</v>
      </c>
      <c r="C14" s="63">
        <v>133332</v>
      </c>
      <c r="D14" s="63">
        <v>146306</v>
      </c>
      <c r="E14" s="63">
        <v>162535</v>
      </c>
      <c r="F14" s="64"/>
      <c r="G14" s="64"/>
      <c r="H14" s="64"/>
      <c r="I14" s="64"/>
      <c r="J14" s="64"/>
    </row>
    <row r="15" spans="2:11" ht="14.25" hidden="1" customHeight="1" x14ac:dyDescent="0.15">
      <c r="B15" s="60"/>
      <c r="C15" s="63">
        <v>0</v>
      </c>
      <c r="D15" s="63">
        <v>0</v>
      </c>
      <c r="E15" s="63">
        <v>0</v>
      </c>
      <c r="F15" s="64"/>
      <c r="G15" s="64"/>
      <c r="H15" s="64"/>
      <c r="I15" s="64"/>
      <c r="J15" s="64"/>
    </row>
    <row r="16" spans="2:11" ht="14.25" customHeight="1" x14ac:dyDescent="0.15">
      <c r="B16" s="60"/>
      <c r="C16" s="63"/>
      <c r="D16" s="63"/>
      <c r="E16" s="63"/>
      <c r="F16" s="64"/>
      <c r="G16" s="64"/>
      <c r="H16" s="64"/>
      <c r="I16" s="64"/>
      <c r="J16" s="64"/>
    </row>
    <row r="17" spans="2:11" ht="14.25" customHeight="1" x14ac:dyDescent="0.15">
      <c r="B17" s="162" t="s">
        <v>44</v>
      </c>
      <c r="C17" s="163">
        <f>SUM(C14:C15)</f>
        <v>133332</v>
      </c>
      <c r="D17" s="163">
        <f>SUM(D14:D15)</f>
        <v>146306</v>
      </c>
      <c r="E17" s="163">
        <f>SUM(E14:E15)</f>
        <v>162535</v>
      </c>
      <c r="F17" s="164">
        <f>F11-F19</f>
        <v>185989.3812</v>
      </c>
      <c r="G17" s="164">
        <f>G11-G19</f>
        <v>208611.20075040002</v>
      </c>
      <c r="H17" s="164">
        <f>H11-H19</f>
        <v>232482.13416960003</v>
      </c>
      <c r="I17" s="164">
        <f>I11-I19</f>
        <v>256764.89308361476</v>
      </c>
      <c r="J17" s="164">
        <f>J11-J19</f>
        <v>281022.07896287087</v>
      </c>
    </row>
    <row r="18" spans="2:11" ht="14.25" customHeight="1" x14ac:dyDescent="0.15">
      <c r="B18" s="70"/>
      <c r="C18" s="71"/>
      <c r="D18" s="71"/>
      <c r="E18" s="71"/>
      <c r="F18" s="67"/>
      <c r="G18" s="67"/>
      <c r="H18" s="67"/>
      <c r="I18" s="67"/>
      <c r="J18" s="67"/>
    </row>
    <row r="19" spans="2:11" ht="14.25" customHeight="1" x14ac:dyDescent="0.15">
      <c r="B19" s="165" t="s">
        <v>45</v>
      </c>
      <c r="C19" s="166">
        <f>C11-C17</f>
        <v>174062</v>
      </c>
      <c r="D19" s="166">
        <f>D11-D17</f>
        <v>203712</v>
      </c>
      <c r="E19" s="163">
        <f>E11-E17</f>
        <v>240301</v>
      </c>
      <c r="F19" s="164">
        <f>F11*Assumptions!E11</f>
        <v>273243.65880000003</v>
      </c>
      <c r="G19" s="164">
        <f>G11*Assumptions!F11</f>
        <v>310322.13444959995</v>
      </c>
      <c r="H19" s="164">
        <f>H11*Assumptions!G11</f>
        <v>348723.20125440002</v>
      </c>
      <c r="I19" s="164">
        <f>I11*Assumptions!H11</f>
        <v>388373.0292370253</v>
      </c>
      <c r="J19" s="164">
        <f>J11*Assumptions!I11</f>
        <v>428629.63558983325</v>
      </c>
    </row>
    <row r="20" spans="2:11" ht="14.25" customHeight="1" x14ac:dyDescent="0.15">
      <c r="B20" s="72"/>
      <c r="C20" s="73"/>
      <c r="D20" s="73"/>
      <c r="E20" s="71"/>
      <c r="F20" s="67"/>
      <c r="G20" s="67"/>
      <c r="H20" s="67"/>
      <c r="I20" s="67"/>
      <c r="J20" s="67"/>
    </row>
    <row r="21" spans="2:11" ht="14.25" customHeight="1" x14ac:dyDescent="0.15">
      <c r="B21" s="58" t="s">
        <v>46</v>
      </c>
      <c r="C21" s="74"/>
      <c r="D21" s="74"/>
      <c r="E21" s="74"/>
      <c r="F21" s="75"/>
      <c r="G21" s="75"/>
      <c r="H21" s="75"/>
      <c r="I21" s="75"/>
      <c r="J21" s="75"/>
    </row>
    <row r="22" spans="2:11" ht="14.25" customHeight="1" x14ac:dyDescent="0.15">
      <c r="B22" s="60" t="s">
        <v>47</v>
      </c>
      <c r="C22" s="63">
        <v>45427</v>
      </c>
      <c r="D22" s="63">
        <v>49326</v>
      </c>
      <c r="E22" s="63">
        <v>61087</v>
      </c>
      <c r="F22" s="64">
        <f>F11*Assumptions!E12</f>
        <v>69803.422080000004</v>
      </c>
      <c r="G22" s="64">
        <f>G11*Assumptions!F12</f>
        <v>77840.000279999993</v>
      </c>
      <c r="H22" s="64">
        <f>H11*Assumptions!G12</f>
        <v>86018.389642752009</v>
      </c>
      <c r="I22" s="64">
        <f>I11*Assumptions!H12</f>
        <v>94190.136658813441</v>
      </c>
      <c r="J22" s="64">
        <f>J11*Assumptions!I12</f>
        <v>102189.84689558939</v>
      </c>
    </row>
    <row r="23" spans="2:11" ht="14.25" customHeight="1" x14ac:dyDescent="0.15">
      <c r="B23" s="60" t="s">
        <v>48</v>
      </c>
      <c r="C23" s="63">
        <v>27917</v>
      </c>
      <c r="D23" s="63">
        <v>27808</v>
      </c>
      <c r="E23" s="63">
        <v>28693</v>
      </c>
      <c r="F23" s="64">
        <f>F11*Assumptions!E13</f>
        <v>32605.545839999999</v>
      </c>
      <c r="G23" s="64">
        <f>G11*Assumptions!F13</f>
        <v>36584.800131599994</v>
      </c>
      <c r="H23" s="64">
        <f>H11*Assumptions!G13</f>
        <v>40684.373479680005</v>
      </c>
      <c r="I23" s="64">
        <f>I11*Assumptions!H13</f>
        <v>44837.085601284489</v>
      </c>
      <c r="J23" s="64">
        <f>J11*Assumptions!I13</f>
        <v>48965.968304136586</v>
      </c>
    </row>
    <row r="24" spans="2:11" ht="14.25" customHeight="1" x14ac:dyDescent="0.15">
      <c r="B24" s="60" t="s">
        <v>49</v>
      </c>
      <c r="C24" s="63">
        <v>16425</v>
      </c>
      <c r="D24" s="63">
        <v>14188</v>
      </c>
      <c r="E24" s="63">
        <v>21482</v>
      </c>
      <c r="F24" s="64">
        <f>F11*Assumptions!E14</f>
        <v>24339.351120000003</v>
      </c>
      <c r="G24" s="64">
        <f>G11*Assumptions!F14</f>
        <v>26984.533430399999</v>
      </c>
      <c r="H24" s="64">
        <f>H11*Assumptions!G14</f>
        <v>29641.472106624002</v>
      </c>
      <c r="I24" s="64">
        <f>I11*Assumptions!H14</f>
        <v>32256.896116032003</v>
      </c>
      <c r="J24" s="64">
        <f>J11*Assumptions!I14</f>
        <v>35482.585727635211</v>
      </c>
    </row>
    <row r="25" spans="2:11" ht="14.25" customHeight="1" x14ac:dyDescent="0.15">
      <c r="B25" s="52"/>
      <c r="C25" s="63"/>
      <c r="D25" s="63"/>
      <c r="E25" s="63"/>
      <c r="F25" s="64"/>
      <c r="G25" s="64"/>
      <c r="H25" s="64"/>
      <c r="I25" s="64"/>
      <c r="J25" s="64"/>
    </row>
    <row r="26" spans="2:11" ht="14.25" customHeight="1" x14ac:dyDescent="0.15">
      <c r="B26" s="167" t="s">
        <v>50</v>
      </c>
      <c r="C26" s="163">
        <f t="shared" ref="C26:J26" si="1">SUM(C22:C24)</f>
        <v>89769</v>
      </c>
      <c r="D26" s="163">
        <f t="shared" si="1"/>
        <v>91322</v>
      </c>
      <c r="E26" s="163">
        <f t="shared" si="1"/>
        <v>111262</v>
      </c>
      <c r="F26" s="164">
        <f t="shared" si="1"/>
        <v>126748.31904</v>
      </c>
      <c r="G26" s="164">
        <f t="shared" si="1"/>
        <v>141409.33384199999</v>
      </c>
      <c r="H26" s="164">
        <f t="shared" si="1"/>
        <v>156344.23522905604</v>
      </c>
      <c r="I26" s="164">
        <f t="shared" si="1"/>
        <v>171284.11837612992</v>
      </c>
      <c r="J26" s="164">
        <f t="shared" si="1"/>
        <v>186638.40092736119</v>
      </c>
    </row>
    <row r="27" spans="2:11" ht="14.25" customHeight="1" x14ac:dyDescent="0.15">
      <c r="B27" s="76"/>
      <c r="C27" s="77"/>
      <c r="D27" s="77"/>
      <c r="E27" s="66"/>
      <c r="F27" s="67"/>
      <c r="G27" s="67"/>
      <c r="H27" s="67"/>
      <c r="I27" s="67"/>
      <c r="J27" s="67"/>
    </row>
    <row r="28" spans="2:11" ht="14.25" customHeight="1" x14ac:dyDescent="0.15">
      <c r="B28" s="168" t="s">
        <v>51</v>
      </c>
      <c r="C28" s="169">
        <f t="shared" ref="C28:J28" si="2">C19-C26</f>
        <v>84293</v>
      </c>
      <c r="D28" s="163">
        <f t="shared" si="2"/>
        <v>112390</v>
      </c>
      <c r="E28" s="163">
        <f t="shared" si="2"/>
        <v>129039</v>
      </c>
      <c r="F28" s="164">
        <f t="shared" si="2"/>
        <v>146495.33976000003</v>
      </c>
      <c r="G28" s="164">
        <f t="shared" si="2"/>
        <v>168912.80060759996</v>
      </c>
      <c r="H28" s="164">
        <f t="shared" si="2"/>
        <v>192378.96602534398</v>
      </c>
      <c r="I28" s="164">
        <f t="shared" si="2"/>
        <v>217088.91086089538</v>
      </c>
      <c r="J28" s="164">
        <f t="shared" si="2"/>
        <v>241991.23466247207</v>
      </c>
    </row>
    <row r="29" spans="2:11" ht="14.25" customHeight="1" x14ac:dyDescent="0.15">
      <c r="B29" s="78"/>
      <c r="C29" s="79"/>
      <c r="D29" s="71"/>
      <c r="E29" s="71"/>
      <c r="F29" s="67"/>
      <c r="G29" s="67"/>
      <c r="H29" s="67"/>
      <c r="I29" s="67"/>
      <c r="J29" s="67"/>
    </row>
    <row r="30" spans="2:11" ht="14.25" customHeight="1" x14ac:dyDescent="0.15">
      <c r="B30" s="60" t="s">
        <v>52</v>
      </c>
      <c r="C30" s="63">
        <v>1424</v>
      </c>
      <c r="D30" s="63">
        <v>7425</v>
      </c>
      <c r="E30" s="63">
        <v>29787</v>
      </c>
      <c r="F30" s="104">
        <v>8000</v>
      </c>
      <c r="G30" s="104">
        <v>8000</v>
      </c>
      <c r="H30" s="104">
        <v>8000</v>
      </c>
      <c r="I30" s="104">
        <v>8000</v>
      </c>
      <c r="J30" s="104">
        <v>8000</v>
      </c>
    </row>
    <row r="31" spans="2:11" ht="14.25" customHeight="1" x14ac:dyDescent="0.15">
      <c r="B31" s="52"/>
      <c r="C31" s="63"/>
      <c r="D31" s="63"/>
      <c r="E31" s="63"/>
      <c r="F31" s="64"/>
      <c r="G31" s="64"/>
      <c r="H31" s="64"/>
      <c r="I31" s="64"/>
      <c r="J31" s="64"/>
    </row>
    <row r="32" spans="2:11" ht="14.25" customHeight="1" x14ac:dyDescent="0.15">
      <c r="B32" s="167" t="s">
        <v>53</v>
      </c>
      <c r="C32" s="163">
        <f t="shared" ref="C32:J32" si="3">SUM(C28:C30)</f>
        <v>85717</v>
      </c>
      <c r="D32" s="163">
        <f t="shared" si="3"/>
        <v>119815</v>
      </c>
      <c r="E32" s="166">
        <f t="shared" si="3"/>
        <v>158826</v>
      </c>
      <c r="F32" s="170">
        <f t="shared" si="3"/>
        <v>154495.33976000003</v>
      </c>
      <c r="G32" s="170">
        <f t="shared" si="3"/>
        <v>176912.80060759996</v>
      </c>
      <c r="H32" s="170">
        <f t="shared" si="3"/>
        <v>200378.96602534398</v>
      </c>
      <c r="I32" s="170">
        <f t="shared" si="3"/>
        <v>225088.91086089538</v>
      </c>
      <c r="J32" s="170">
        <f t="shared" si="3"/>
        <v>249991.23466247207</v>
      </c>
    </row>
    <row r="33" spans="2:10" ht="14.25" customHeight="1" x14ac:dyDescent="0.15">
      <c r="B33" s="80"/>
      <c r="C33" s="71"/>
      <c r="D33" s="71"/>
      <c r="E33" s="71"/>
      <c r="F33" s="67"/>
      <c r="G33" s="67"/>
      <c r="H33" s="67"/>
      <c r="I33" s="67"/>
      <c r="J33" s="67"/>
    </row>
    <row r="34" spans="2:10" ht="14.25" customHeight="1" x14ac:dyDescent="0.15">
      <c r="B34" s="60" t="s">
        <v>54</v>
      </c>
      <c r="C34" s="63">
        <v>16950</v>
      </c>
      <c r="D34" s="63">
        <v>19651</v>
      </c>
      <c r="E34" s="63">
        <v>21795</v>
      </c>
      <c r="F34" s="64">
        <f>F32*Assumptions!E16</f>
        <v>27809.161156800004</v>
      </c>
      <c r="G34" s="64">
        <f>G32*Assumptions!F16</f>
        <v>31844.304109367993</v>
      </c>
      <c r="H34" s="64">
        <f>H32*Assumptions!G16</f>
        <v>36068.213884561912</v>
      </c>
      <c r="I34" s="64">
        <f>I32*Assumptions!H16</f>
        <v>40516.003954961168</v>
      </c>
      <c r="J34" s="64">
        <f>J32*Assumptions!I16</f>
        <v>44998.422239244974</v>
      </c>
    </row>
    <row r="35" spans="2:10" ht="14.25" customHeight="1" x14ac:dyDescent="0.15">
      <c r="B35" s="52"/>
      <c r="C35" s="61"/>
      <c r="D35" s="61"/>
      <c r="E35" s="61"/>
      <c r="F35" s="62"/>
      <c r="G35" s="64"/>
      <c r="H35" s="64"/>
      <c r="I35" s="64"/>
      <c r="J35" s="64"/>
    </row>
    <row r="36" spans="2:10" ht="14.25" customHeight="1" x14ac:dyDescent="0.15">
      <c r="B36" s="167" t="s">
        <v>55</v>
      </c>
      <c r="C36" s="171">
        <f t="shared" ref="C36:J36" si="4">C32-C34</f>
        <v>68767</v>
      </c>
      <c r="D36" s="171">
        <f t="shared" si="4"/>
        <v>100164</v>
      </c>
      <c r="E36" s="171">
        <f t="shared" si="4"/>
        <v>137031</v>
      </c>
      <c r="F36" s="172">
        <f t="shared" si="4"/>
        <v>126686.17860320002</v>
      </c>
      <c r="G36" s="164">
        <f t="shared" si="4"/>
        <v>145068.49649823195</v>
      </c>
      <c r="H36" s="164">
        <f t="shared" si="4"/>
        <v>164310.75214078208</v>
      </c>
      <c r="I36" s="164">
        <f t="shared" si="4"/>
        <v>184572.90690593421</v>
      </c>
      <c r="J36" s="164">
        <f t="shared" si="4"/>
        <v>204992.81242322709</v>
      </c>
    </row>
    <row r="37" spans="2:10" ht="14.25" customHeight="1" x14ac:dyDescent="0.15">
      <c r="B37" s="65"/>
      <c r="C37" s="81"/>
      <c r="D37" s="81"/>
      <c r="E37" s="81"/>
      <c r="F37" s="82"/>
      <c r="G37" s="67"/>
      <c r="H37" s="67"/>
      <c r="I37" s="67"/>
      <c r="J37" s="67"/>
    </row>
    <row r="38" spans="2:10" ht="14.25" customHeight="1" x14ac:dyDescent="0.15">
      <c r="B38" s="58" t="s">
        <v>56</v>
      </c>
      <c r="C38" s="83"/>
      <c r="D38" s="83"/>
      <c r="E38" s="83"/>
      <c r="F38" s="84"/>
      <c r="G38" s="75"/>
      <c r="H38" s="75"/>
      <c r="I38" s="75"/>
      <c r="J38" s="75"/>
    </row>
    <row r="39" spans="2:10" ht="14.25" customHeight="1" x14ac:dyDescent="0.15">
      <c r="B39" s="60" t="s">
        <v>57</v>
      </c>
      <c r="C39" s="85">
        <f t="shared" ref="C39:J39" si="5">C36/C43</f>
        <v>5.4447347585114807</v>
      </c>
      <c r="D39" s="85">
        <f t="shared" si="5"/>
        <v>8.1308547771734716</v>
      </c>
      <c r="E39" s="85">
        <f t="shared" si="5"/>
        <v>11.30992076592935</v>
      </c>
      <c r="F39" s="102">
        <f t="shared" si="5"/>
        <v>10.456105860283923</v>
      </c>
      <c r="G39" s="102">
        <f t="shared" si="5"/>
        <v>11.973299479880485</v>
      </c>
      <c r="H39" s="102">
        <f t="shared" si="5"/>
        <v>13.561468483062239</v>
      </c>
      <c r="I39" s="102">
        <f t="shared" si="5"/>
        <v>15.23381536034452</v>
      </c>
      <c r="J39" s="102">
        <f t="shared" si="5"/>
        <v>16.919182273293753</v>
      </c>
    </row>
    <row r="40" spans="2:10" ht="14.25" customHeight="1" x14ac:dyDescent="0.15">
      <c r="B40" s="60" t="s">
        <v>58</v>
      </c>
      <c r="C40" s="85">
        <f t="shared" ref="C40:J40" si="6">C36/C44</f>
        <v>5.4053607923282501</v>
      </c>
      <c r="D40" s="85">
        <f t="shared" si="6"/>
        <v>8.0472402988671963</v>
      </c>
      <c r="E40" s="85">
        <f t="shared" si="6"/>
        <v>11.204497138184792</v>
      </c>
      <c r="F40" s="102">
        <f t="shared" si="6"/>
        <v>10.358640932395749</v>
      </c>
      <c r="G40" s="102">
        <f t="shared" si="6"/>
        <v>11.86169227295437</v>
      </c>
      <c r="H40" s="102">
        <f t="shared" si="6"/>
        <v>13.435057411347676</v>
      </c>
      <c r="I40" s="102">
        <f t="shared" si="6"/>
        <v>15.091815773175323</v>
      </c>
      <c r="J40" s="102">
        <f t="shared" si="6"/>
        <v>16.761472806478093</v>
      </c>
    </row>
    <row r="41" spans="2:10" ht="14.25" customHeight="1" x14ac:dyDescent="0.15">
      <c r="B41" s="52" t="s">
        <v>59</v>
      </c>
      <c r="C41" s="61"/>
      <c r="D41" s="61"/>
      <c r="E41" s="61"/>
      <c r="F41" s="62"/>
      <c r="G41" s="64"/>
      <c r="H41" s="64"/>
      <c r="I41" s="64"/>
      <c r="J41" s="64"/>
    </row>
    <row r="42" spans="2:10" ht="14.25" customHeight="1" x14ac:dyDescent="0.15">
      <c r="B42" s="58" t="s">
        <v>60</v>
      </c>
      <c r="C42" s="83"/>
      <c r="D42" s="83"/>
      <c r="E42" s="83"/>
      <c r="F42" s="84"/>
      <c r="G42" s="75"/>
      <c r="H42" s="75"/>
      <c r="I42" s="75"/>
      <c r="J42" s="75"/>
    </row>
    <row r="43" spans="2:10" ht="14.25" customHeight="1" x14ac:dyDescent="0.15">
      <c r="B43" s="60" t="s">
        <v>57</v>
      </c>
      <c r="C43" s="86">
        <v>12630</v>
      </c>
      <c r="D43" s="86">
        <v>12319</v>
      </c>
      <c r="E43" s="86">
        <v>12116</v>
      </c>
      <c r="F43" s="64">
        <f t="shared" ref="F43:J44" si="7">E43</f>
        <v>12116</v>
      </c>
      <c r="G43" s="64">
        <f t="shared" si="7"/>
        <v>12116</v>
      </c>
      <c r="H43" s="64">
        <f t="shared" si="7"/>
        <v>12116</v>
      </c>
      <c r="I43" s="64">
        <f t="shared" si="7"/>
        <v>12116</v>
      </c>
      <c r="J43" s="64">
        <f t="shared" si="7"/>
        <v>12116</v>
      </c>
    </row>
    <row r="44" spans="2:10" ht="14.25" customHeight="1" x14ac:dyDescent="0.15">
      <c r="B44" s="60" t="s">
        <v>58</v>
      </c>
      <c r="C44" s="86">
        <v>12722</v>
      </c>
      <c r="D44" s="86">
        <v>12447</v>
      </c>
      <c r="E44" s="86">
        <v>12230</v>
      </c>
      <c r="F44" s="64">
        <f t="shared" si="7"/>
        <v>12230</v>
      </c>
      <c r="G44" s="64">
        <f t="shared" si="7"/>
        <v>12230</v>
      </c>
      <c r="H44" s="64">
        <f t="shared" si="7"/>
        <v>12230</v>
      </c>
      <c r="I44" s="64">
        <f t="shared" si="7"/>
        <v>12230</v>
      </c>
      <c r="J44" s="64">
        <f t="shared" si="7"/>
        <v>12230</v>
      </c>
    </row>
    <row r="45" spans="2:10" ht="14.25" customHeight="1" x14ac:dyDescent="0.15">
      <c r="C45" s="87"/>
      <c r="D45" s="87"/>
      <c r="E45" s="87"/>
    </row>
    <row r="48" spans="2:10" x14ac:dyDescent="0.15"/>
  </sheetData>
  <mergeCells count="2">
    <mergeCell ref="C4:E4"/>
    <mergeCell ref="F4:J4"/>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J66"/>
  <sheetViews>
    <sheetView showGridLines="0" topLeftCell="A20" workbookViewId="0"/>
  </sheetViews>
  <sheetFormatPr baseColWidth="10" defaultColWidth="8.83203125" defaultRowHeight="14" x14ac:dyDescent="0.15"/>
  <cols>
    <col min="1" max="1" width="2.83203125" style="1" customWidth="1"/>
    <col min="2" max="2" width="42.1640625" style="1" customWidth="1"/>
    <col min="3" max="8" width="9.5" style="1" customWidth="1"/>
    <col min="9" max="10" width="10.1640625" style="1" customWidth="1"/>
    <col min="11" max="11" width="8.83203125" style="1" customWidth="1"/>
    <col min="12" max="16384" width="8.83203125" style="1"/>
  </cols>
  <sheetData>
    <row r="2" spans="2:10" ht="18" customHeight="1" x14ac:dyDescent="0.2">
      <c r="B2" s="2" t="s">
        <v>61</v>
      </c>
    </row>
    <row r="4" spans="2:10" ht="13.5" customHeight="1" x14ac:dyDescent="0.15">
      <c r="B4" s="22" t="s">
        <v>62</v>
      </c>
      <c r="C4" s="230" t="s">
        <v>63</v>
      </c>
      <c r="D4" s="227"/>
      <c r="E4" s="227"/>
      <c r="F4" s="230" t="s">
        <v>9</v>
      </c>
      <c r="G4" s="227"/>
      <c r="H4" s="227"/>
      <c r="I4" s="227"/>
      <c r="J4" s="227"/>
    </row>
    <row r="5" spans="2:10" ht="13.5" customHeight="1" x14ac:dyDescent="0.15">
      <c r="B5" s="4"/>
      <c r="C5" s="121" t="s">
        <v>38</v>
      </c>
      <c r="D5" s="121" t="s">
        <v>10</v>
      </c>
      <c r="E5" s="121" t="s">
        <v>11</v>
      </c>
      <c r="F5" s="123" t="s">
        <v>12</v>
      </c>
      <c r="G5" s="123" t="s">
        <v>13</v>
      </c>
      <c r="H5" s="123" t="s">
        <v>14</v>
      </c>
      <c r="I5" s="123" t="s">
        <v>15</v>
      </c>
      <c r="J5" s="123" t="s">
        <v>16</v>
      </c>
    </row>
    <row r="6" spans="2:10" ht="13.5" customHeight="1" x14ac:dyDescent="0.15">
      <c r="B6" s="23"/>
      <c r="C6" s="18"/>
      <c r="D6" s="18"/>
      <c r="E6" s="18"/>
      <c r="F6" s="18"/>
      <c r="G6" s="18"/>
      <c r="H6" s="18"/>
      <c r="I6" s="18"/>
      <c r="J6" s="18"/>
    </row>
    <row r="7" spans="2:10" ht="13.5" customHeight="1" x14ac:dyDescent="0.15">
      <c r="B7" s="161" t="s">
        <v>64</v>
      </c>
      <c r="C7" s="230"/>
      <c r="D7" s="227"/>
      <c r="E7" s="227"/>
      <c r="F7" s="230"/>
      <c r="G7" s="227"/>
      <c r="H7" s="227"/>
      <c r="I7" s="227"/>
      <c r="J7" s="227"/>
    </row>
    <row r="8" spans="2:10" ht="13.5" customHeight="1" x14ac:dyDescent="0.15">
      <c r="B8" s="24"/>
      <c r="C8" s="23"/>
      <c r="D8" s="23"/>
      <c r="E8" s="23"/>
      <c r="F8" s="23"/>
      <c r="G8" s="23"/>
      <c r="H8" s="23"/>
      <c r="I8" s="23"/>
      <c r="J8" s="23"/>
    </row>
    <row r="9" spans="2:10" ht="13.5" customHeight="1" x14ac:dyDescent="0.15">
      <c r="B9" s="7" t="s">
        <v>65</v>
      </c>
      <c r="C9" s="8"/>
      <c r="D9" s="8"/>
      <c r="E9" s="8"/>
      <c r="F9" s="4"/>
      <c r="G9" s="4"/>
      <c r="H9" s="4"/>
      <c r="I9" s="4"/>
      <c r="J9" s="4"/>
    </row>
    <row r="10" spans="2:10" ht="13.5" customHeight="1" x14ac:dyDescent="0.15">
      <c r="B10" s="9" t="s">
        <v>66</v>
      </c>
      <c r="C10" s="25">
        <v>24048</v>
      </c>
      <c r="D10" s="25">
        <v>23466</v>
      </c>
      <c r="E10" s="25">
        <v>30708</v>
      </c>
      <c r="F10" s="149">
        <f>'Cash Flow Statement'!F56</f>
        <v>-72084.282836800005</v>
      </c>
      <c r="G10" s="149">
        <f>'Cash Flow Statement'!G56</f>
        <v>-156865.31428976805</v>
      </c>
      <c r="H10" s="149">
        <f>'Cash Flow Statement'!H56</f>
        <v>-217076.32767560999</v>
      </c>
      <c r="I10" s="149">
        <f>'Cash Flow Statement'!I56</f>
        <v>-253707.85924240958</v>
      </c>
      <c r="J10" s="149">
        <f>'Cash Flow Statement'!J56</f>
        <v>-268309.82650188892</v>
      </c>
    </row>
    <row r="11" spans="2:10" ht="13.5" customHeight="1" x14ac:dyDescent="0.15">
      <c r="B11" s="9" t="s">
        <v>67</v>
      </c>
      <c r="C11" s="26">
        <v>86868</v>
      </c>
      <c r="D11" s="26">
        <v>72191</v>
      </c>
      <c r="E11" s="26">
        <v>96135</v>
      </c>
      <c r="F11" s="27">
        <f>E11-'Cash Flow Statement'!F32</f>
        <v>197166.26880000002</v>
      </c>
      <c r="G11" s="28">
        <f>F11-'Cash Flow Statement'!G32</f>
        <v>300952.93584000005</v>
      </c>
      <c r="H11" s="28">
        <f>G11-'Cash Flow Statement'!H32</f>
        <v>405569.89621632005</v>
      </c>
      <c r="I11" s="28">
        <f>H11-'Cash Flow Statement'!I32</f>
        <v>508791.96378762246</v>
      </c>
      <c r="J11" s="28">
        <f>I11-'Cash Flow Statement'!J32</f>
        <v>615239.72097052808</v>
      </c>
    </row>
    <row r="12" spans="2:10" ht="13.5" customHeight="1" x14ac:dyDescent="0.15">
      <c r="B12" s="13"/>
      <c r="C12" s="26"/>
      <c r="D12" s="26"/>
      <c r="E12" s="26"/>
      <c r="F12" s="28"/>
      <c r="G12" s="28"/>
      <c r="H12" s="28"/>
      <c r="I12" s="28"/>
      <c r="J12" s="28"/>
    </row>
    <row r="13" spans="2:10" ht="13.5" customHeight="1" x14ac:dyDescent="0.15">
      <c r="B13" s="7" t="s">
        <v>68</v>
      </c>
      <c r="C13" s="148">
        <f t="shared" ref="C13:J13" si="0">SUM(C10:C11)</f>
        <v>110916</v>
      </c>
      <c r="D13" s="148">
        <f t="shared" si="0"/>
        <v>95657</v>
      </c>
      <c r="E13" s="148">
        <f t="shared" si="0"/>
        <v>126843</v>
      </c>
      <c r="F13" s="30">
        <f t="shared" si="0"/>
        <v>125081.98596320002</v>
      </c>
      <c r="G13" s="30">
        <f t="shared" si="0"/>
        <v>144087.621550232</v>
      </c>
      <c r="H13" s="30">
        <f t="shared" si="0"/>
        <v>188493.56854071005</v>
      </c>
      <c r="I13" s="30">
        <f t="shared" si="0"/>
        <v>255084.10454521287</v>
      </c>
      <c r="J13" s="30">
        <f t="shared" si="0"/>
        <v>346929.89446863916</v>
      </c>
    </row>
    <row r="14" spans="2:10" ht="13.5" customHeight="1" x14ac:dyDescent="0.15">
      <c r="B14" s="9" t="s">
        <v>69</v>
      </c>
      <c r="C14" s="26">
        <v>47964</v>
      </c>
      <c r="D14" s="26">
        <v>52340</v>
      </c>
      <c r="E14" s="26">
        <v>62886</v>
      </c>
      <c r="F14" s="28">
        <f>'Income Statement'!F11*Assumptions!E24</f>
        <v>71640.354240000001</v>
      </c>
      <c r="G14" s="28">
        <f>'Income Statement'!G11*Assumptions!F24</f>
        <v>80953.600291199997</v>
      </c>
      <c r="H14" s="28">
        <f>'Income Statement'!H11*Assumptions!G24</f>
        <v>90668.032326144006</v>
      </c>
      <c r="I14" s="28">
        <f>'Income Statement'!I11*Assumptions!H24</f>
        <v>100641.51588201986</v>
      </c>
      <c r="J14" s="28">
        <f>'Income Statement'!J11*Assumptions!I24</f>
        <v>110705.66747022184</v>
      </c>
    </row>
    <row r="15" spans="2:10" ht="13.5" customHeight="1" x14ac:dyDescent="0.15">
      <c r="B15" s="9" t="s">
        <v>70</v>
      </c>
      <c r="C15" s="26">
        <v>0</v>
      </c>
      <c r="D15" s="26">
        <v>0</v>
      </c>
      <c r="E15" s="26">
        <v>0</v>
      </c>
      <c r="F15" s="28">
        <f>'Income Statement'!F11*Assumptions!E25</f>
        <v>0</v>
      </c>
      <c r="G15" s="28">
        <f>'Income Statement'!G11*Assumptions!F25</f>
        <v>0</v>
      </c>
      <c r="H15" s="28">
        <f>'Income Statement'!H11*Assumptions!G25</f>
        <v>0</v>
      </c>
      <c r="I15" s="28">
        <f>'Income Statement'!I11*Assumptions!H25</f>
        <v>0</v>
      </c>
      <c r="J15" s="28">
        <f>'Income Statement'!J11*Assumptions!I25</f>
        <v>0</v>
      </c>
    </row>
    <row r="16" spans="2:10" ht="13.5" customHeight="1" x14ac:dyDescent="0.15">
      <c r="B16" s="9" t="s">
        <v>71</v>
      </c>
      <c r="C16" s="26">
        <v>12650</v>
      </c>
      <c r="D16" s="26">
        <v>15714</v>
      </c>
      <c r="E16" s="26">
        <v>16309</v>
      </c>
      <c r="F16" s="27">
        <f>E16</f>
        <v>16309</v>
      </c>
      <c r="G16" s="28">
        <f>F16</f>
        <v>16309</v>
      </c>
      <c r="H16" s="28">
        <f>G16</f>
        <v>16309</v>
      </c>
      <c r="I16" s="28">
        <f>H16</f>
        <v>16309</v>
      </c>
      <c r="J16" s="28">
        <f>I16</f>
        <v>16309</v>
      </c>
    </row>
    <row r="17" spans="2:10" ht="13.5" customHeight="1" x14ac:dyDescent="0.15">
      <c r="B17" s="9"/>
      <c r="C17" s="26"/>
      <c r="D17" s="26"/>
      <c r="E17" s="26"/>
      <c r="F17" s="28"/>
      <c r="G17" s="28"/>
      <c r="H17" s="28"/>
      <c r="I17" s="28"/>
      <c r="J17" s="28"/>
    </row>
    <row r="18" spans="2:10" ht="13.5" customHeight="1" x14ac:dyDescent="0.15">
      <c r="B18" s="150" t="s">
        <v>72</v>
      </c>
      <c r="C18" s="155">
        <f t="shared" ref="C18:J18" si="1">SUM(C13:C16)</f>
        <v>171530</v>
      </c>
      <c r="D18" s="155">
        <f t="shared" si="1"/>
        <v>163711</v>
      </c>
      <c r="E18" s="155">
        <f t="shared" si="1"/>
        <v>206038</v>
      </c>
      <c r="F18" s="156">
        <f t="shared" si="1"/>
        <v>213031.3402032</v>
      </c>
      <c r="G18" s="156">
        <f t="shared" si="1"/>
        <v>241350.22184143198</v>
      </c>
      <c r="H18" s="156">
        <f t="shared" si="1"/>
        <v>295470.60086685407</v>
      </c>
      <c r="I18" s="156">
        <f t="shared" si="1"/>
        <v>372034.6204272327</v>
      </c>
      <c r="J18" s="156">
        <f t="shared" si="1"/>
        <v>473944.56193886104</v>
      </c>
    </row>
    <row r="19" spans="2:10" ht="13.5" customHeight="1" x14ac:dyDescent="0.15">
      <c r="B19" s="19"/>
      <c r="C19" s="31"/>
      <c r="D19" s="31"/>
      <c r="E19" s="31"/>
      <c r="F19" s="32"/>
      <c r="G19" s="32"/>
      <c r="H19" s="32"/>
      <c r="I19" s="32"/>
      <c r="J19" s="32"/>
    </row>
    <row r="20" spans="2:10" ht="13.5" customHeight="1" x14ac:dyDescent="0.15">
      <c r="B20" s="7" t="s">
        <v>73</v>
      </c>
      <c r="C20" s="29"/>
      <c r="D20" s="29"/>
      <c r="E20" s="29"/>
      <c r="F20" s="30"/>
      <c r="G20" s="30"/>
      <c r="H20" s="30"/>
      <c r="I20" s="30"/>
      <c r="J20" s="30"/>
    </row>
    <row r="21" spans="2:10" ht="13.5" customHeight="1" x14ac:dyDescent="0.15">
      <c r="B21" s="9" t="s">
        <v>74</v>
      </c>
      <c r="C21" s="26">
        <v>134345</v>
      </c>
      <c r="D21" s="26">
        <v>171036</v>
      </c>
      <c r="E21" s="26">
        <v>246597</v>
      </c>
      <c r="F21" s="28">
        <f>E21-'Cash Flow Statement'!F30-'Cash Flow Statement'!F11</f>
        <v>356812.92960000003</v>
      </c>
      <c r="G21" s="28">
        <f>F21-'Cash Flow Statement'!G30-'Cash Flow Statement'!G11</f>
        <v>463194.263316</v>
      </c>
      <c r="H21" s="28">
        <f>G21-'Cash Flow Statement'!H30-'Cash Flow Statement'!H11</f>
        <v>561999.17033807992</v>
      </c>
      <c r="I21" s="28">
        <f>H21-'Cash Flow Statement'!I30-'Cash Flow Statement'!I11</f>
        <v>657479.58284153475</v>
      </c>
      <c r="J21" s="28">
        <f>I21-'Cash Flow Statement'!J30-'Cash Flow Statement'!J11</f>
        <v>746895.69887517556</v>
      </c>
    </row>
    <row r="22" spans="2:10" ht="13.5" customHeight="1" x14ac:dyDescent="0.15">
      <c r="B22" s="9" t="s">
        <v>75</v>
      </c>
      <c r="C22" s="26">
        <v>14091</v>
      </c>
      <c r="D22" s="26">
        <v>13588</v>
      </c>
      <c r="E22" s="26">
        <v>15221</v>
      </c>
      <c r="F22" s="28">
        <f t="shared" ref="F22:J26" si="2">E22</f>
        <v>15221</v>
      </c>
      <c r="G22" s="28">
        <f t="shared" si="2"/>
        <v>15221</v>
      </c>
      <c r="H22" s="28">
        <f t="shared" si="2"/>
        <v>15221</v>
      </c>
      <c r="I22" s="28">
        <f t="shared" si="2"/>
        <v>15221</v>
      </c>
      <c r="J22" s="28">
        <f t="shared" si="2"/>
        <v>15221</v>
      </c>
    </row>
    <row r="23" spans="2:10" ht="13.5" customHeight="1" x14ac:dyDescent="0.15">
      <c r="B23" s="9" t="s">
        <v>76</v>
      </c>
      <c r="C23" s="26">
        <v>31008</v>
      </c>
      <c r="D23" s="26">
        <v>37982</v>
      </c>
      <c r="E23" s="26">
        <v>68687</v>
      </c>
      <c r="F23" s="28">
        <f t="shared" si="2"/>
        <v>68687</v>
      </c>
      <c r="G23" s="28">
        <f t="shared" si="2"/>
        <v>68687</v>
      </c>
      <c r="H23" s="28">
        <f t="shared" si="2"/>
        <v>68687</v>
      </c>
      <c r="I23" s="28">
        <f t="shared" si="2"/>
        <v>68687</v>
      </c>
      <c r="J23" s="28">
        <f t="shared" si="2"/>
        <v>68687</v>
      </c>
    </row>
    <row r="24" spans="2:10" ht="13.5" customHeight="1" x14ac:dyDescent="0.15">
      <c r="B24" s="9" t="s">
        <v>77</v>
      </c>
      <c r="C24" s="26">
        <v>29198</v>
      </c>
      <c r="D24" s="26">
        <v>31885</v>
      </c>
      <c r="E24" s="26">
        <v>33380</v>
      </c>
      <c r="F24" s="28">
        <f t="shared" si="2"/>
        <v>33380</v>
      </c>
      <c r="G24" s="28">
        <f t="shared" si="2"/>
        <v>33380</v>
      </c>
      <c r="H24" s="28">
        <f t="shared" si="2"/>
        <v>33380</v>
      </c>
      <c r="I24" s="28">
        <f t="shared" si="2"/>
        <v>33380</v>
      </c>
      <c r="J24" s="28">
        <f t="shared" si="2"/>
        <v>33380</v>
      </c>
    </row>
    <row r="25" spans="2:10" ht="13.5" customHeight="1" x14ac:dyDescent="0.15">
      <c r="B25" s="9" t="s">
        <v>78</v>
      </c>
      <c r="C25" s="26">
        <v>0</v>
      </c>
      <c r="D25" s="26">
        <v>0</v>
      </c>
      <c r="E25" s="26">
        <v>0</v>
      </c>
      <c r="F25" s="28">
        <f t="shared" si="2"/>
        <v>0</v>
      </c>
      <c r="G25" s="28">
        <f t="shared" si="2"/>
        <v>0</v>
      </c>
      <c r="H25" s="28">
        <f t="shared" si="2"/>
        <v>0</v>
      </c>
      <c r="I25" s="28">
        <f t="shared" si="2"/>
        <v>0</v>
      </c>
      <c r="J25" s="28">
        <f t="shared" si="2"/>
        <v>0</v>
      </c>
    </row>
    <row r="26" spans="2:10" ht="13.5" customHeight="1" x14ac:dyDescent="0.15">
      <c r="B26" s="9" t="s">
        <v>79</v>
      </c>
      <c r="C26" s="26">
        <v>22220</v>
      </c>
      <c r="D26" s="26">
        <v>32054</v>
      </c>
      <c r="E26" s="26">
        <v>25358</v>
      </c>
      <c r="F26" s="28">
        <f t="shared" si="2"/>
        <v>25358</v>
      </c>
      <c r="G26" s="28">
        <f t="shared" si="2"/>
        <v>25358</v>
      </c>
      <c r="H26" s="28">
        <f t="shared" si="2"/>
        <v>25358</v>
      </c>
      <c r="I26" s="28">
        <f t="shared" si="2"/>
        <v>25358</v>
      </c>
      <c r="J26" s="28">
        <f t="shared" si="2"/>
        <v>25358</v>
      </c>
    </row>
    <row r="27" spans="2:10" ht="13.5" customHeight="1" x14ac:dyDescent="0.15">
      <c r="B27" s="9"/>
      <c r="C27" s="26"/>
      <c r="D27" s="26"/>
      <c r="E27" s="26"/>
      <c r="F27" s="28"/>
      <c r="G27" s="28"/>
      <c r="H27" s="28"/>
      <c r="I27" s="28"/>
      <c r="J27" s="28"/>
    </row>
    <row r="28" spans="2:10" ht="13.5" customHeight="1" x14ac:dyDescent="0.15">
      <c r="B28" s="157" t="s">
        <v>80</v>
      </c>
      <c r="C28" s="155">
        <f t="shared" ref="C28:J28" si="3">SUM(C21:C26)</f>
        <v>230862</v>
      </c>
      <c r="D28" s="155">
        <f t="shared" si="3"/>
        <v>286545</v>
      </c>
      <c r="E28" s="155">
        <f t="shared" si="3"/>
        <v>389243</v>
      </c>
      <c r="F28" s="156">
        <f t="shared" si="3"/>
        <v>499458.92960000003</v>
      </c>
      <c r="G28" s="156">
        <f t="shared" si="3"/>
        <v>605840.263316</v>
      </c>
      <c r="H28" s="156">
        <f t="shared" si="3"/>
        <v>704645.17033807992</v>
      </c>
      <c r="I28" s="156">
        <f t="shared" si="3"/>
        <v>800125.58284153475</v>
      </c>
      <c r="J28" s="156">
        <f t="shared" si="3"/>
        <v>889541.69887517556</v>
      </c>
    </row>
    <row r="29" spans="2:10" ht="13.5" customHeight="1" x14ac:dyDescent="0.15">
      <c r="B29" s="21"/>
      <c r="C29" s="34"/>
      <c r="D29" s="34"/>
      <c r="E29" s="34"/>
      <c r="F29" s="32"/>
      <c r="G29" s="32"/>
      <c r="H29" s="32"/>
      <c r="I29" s="32"/>
      <c r="J29" s="32"/>
    </row>
    <row r="30" spans="2:10" ht="13.5" customHeight="1" x14ac:dyDescent="0.15">
      <c r="B30" s="150" t="s">
        <v>81</v>
      </c>
      <c r="C30" s="155">
        <f t="shared" ref="C30:J30" si="4">SUM(C18+C28)</f>
        <v>402392</v>
      </c>
      <c r="D30" s="155">
        <f t="shared" si="4"/>
        <v>450256</v>
      </c>
      <c r="E30" s="155">
        <f t="shared" si="4"/>
        <v>595281</v>
      </c>
      <c r="F30" s="156">
        <f t="shared" si="4"/>
        <v>712490.26980320003</v>
      </c>
      <c r="G30" s="156">
        <f t="shared" si="4"/>
        <v>847190.48515743203</v>
      </c>
      <c r="H30" s="156">
        <f t="shared" si="4"/>
        <v>1000115.771204934</v>
      </c>
      <c r="I30" s="156">
        <f t="shared" si="4"/>
        <v>1172160.2032687673</v>
      </c>
      <c r="J30" s="156">
        <f t="shared" si="4"/>
        <v>1363486.2608140367</v>
      </c>
    </row>
    <row r="31" spans="2:10" ht="13.5" customHeight="1" x14ac:dyDescent="0.15">
      <c r="B31" s="19"/>
      <c r="C31" s="31"/>
      <c r="D31" s="31"/>
      <c r="E31" s="31"/>
      <c r="F31" s="32"/>
      <c r="G31" s="32"/>
      <c r="H31" s="32"/>
      <c r="I31" s="32"/>
      <c r="J31" s="32"/>
    </row>
    <row r="32" spans="2:10" ht="13.5" customHeight="1" x14ac:dyDescent="0.15">
      <c r="B32" s="161" t="s">
        <v>82</v>
      </c>
      <c r="C32" s="230"/>
      <c r="D32" s="227"/>
      <c r="E32" s="227"/>
      <c r="F32" s="230"/>
      <c r="G32" s="227"/>
      <c r="H32" s="227"/>
      <c r="I32" s="227"/>
      <c r="J32" s="227"/>
    </row>
    <row r="33" spans="2:10" ht="13.5" customHeight="1" x14ac:dyDescent="0.15">
      <c r="B33" s="20"/>
      <c r="C33" s="26"/>
      <c r="D33" s="26"/>
      <c r="E33" s="26"/>
      <c r="F33" s="28"/>
      <c r="G33" s="28"/>
      <c r="H33" s="28"/>
      <c r="I33" s="28"/>
      <c r="J33" s="28"/>
    </row>
    <row r="34" spans="2:10" ht="13.5" customHeight="1" x14ac:dyDescent="0.15">
      <c r="B34" s="7" t="s">
        <v>83</v>
      </c>
      <c r="C34" s="29"/>
      <c r="D34" s="29"/>
      <c r="E34" s="29"/>
      <c r="F34" s="30"/>
      <c r="G34" s="30"/>
      <c r="H34" s="30"/>
      <c r="I34" s="30"/>
      <c r="J34" s="30"/>
    </row>
    <row r="35" spans="2:10" ht="13.5" customHeight="1" x14ac:dyDescent="0.15">
      <c r="B35" s="9" t="s">
        <v>84</v>
      </c>
      <c r="C35" s="26">
        <v>7493</v>
      </c>
      <c r="D35" s="26">
        <v>7987</v>
      </c>
      <c r="E35" s="26">
        <v>12200</v>
      </c>
      <c r="F35" s="28">
        <f>'Income Statement'!F11*Assumptions!E26</f>
        <v>13776.9912</v>
      </c>
      <c r="G35" s="28">
        <f>'Income Statement'!G11*Assumptions!F26</f>
        <v>15568.000055999999</v>
      </c>
      <c r="H35" s="28">
        <f>'Income Statement'!H11*Assumptions!G26</f>
        <v>17436.160062720002</v>
      </c>
      <c r="I35" s="28">
        <f>'Income Statement'!I11*Assumptions!H26</f>
        <v>19354.137669619202</v>
      </c>
      <c r="J35" s="28">
        <f>'Income Statement'!J11*Assumptions!I26</f>
        <v>21289.551436581121</v>
      </c>
    </row>
    <row r="36" spans="2:10" ht="13.5" customHeight="1" x14ac:dyDescent="0.15">
      <c r="B36" s="9" t="s">
        <v>85</v>
      </c>
      <c r="C36" s="26">
        <v>0</v>
      </c>
      <c r="D36" s="26">
        <v>0</v>
      </c>
      <c r="E36" s="26">
        <v>0</v>
      </c>
      <c r="F36" s="28">
        <f t="shared" ref="F36:J41" si="5">E36</f>
        <v>0</v>
      </c>
      <c r="G36" s="28">
        <f t="shared" si="5"/>
        <v>0</v>
      </c>
      <c r="H36" s="28">
        <f t="shared" si="5"/>
        <v>0</v>
      </c>
      <c r="I36" s="28">
        <f t="shared" si="5"/>
        <v>0</v>
      </c>
      <c r="J36" s="28">
        <f t="shared" si="5"/>
        <v>0</v>
      </c>
    </row>
    <row r="37" spans="2:10" ht="13.5" customHeight="1" x14ac:dyDescent="0.15">
      <c r="B37" s="9" t="s">
        <v>86</v>
      </c>
      <c r="C37" s="26">
        <v>0</v>
      </c>
      <c r="D37" s="26">
        <v>0</v>
      </c>
      <c r="E37" s="26">
        <v>0</v>
      </c>
      <c r="F37" s="28">
        <f t="shared" si="5"/>
        <v>0</v>
      </c>
      <c r="G37" s="28">
        <f t="shared" si="5"/>
        <v>0</v>
      </c>
      <c r="H37" s="28">
        <f t="shared" si="5"/>
        <v>0</v>
      </c>
      <c r="I37" s="28">
        <f t="shared" si="5"/>
        <v>0</v>
      </c>
      <c r="J37" s="28">
        <f t="shared" si="5"/>
        <v>0</v>
      </c>
    </row>
    <row r="38" spans="2:10" ht="13.5" customHeight="1" x14ac:dyDescent="0.15">
      <c r="B38" s="9" t="s">
        <v>87</v>
      </c>
      <c r="C38" s="26">
        <v>15140</v>
      </c>
      <c r="D38" s="26">
        <v>15069</v>
      </c>
      <c r="E38" s="26">
        <v>17546</v>
      </c>
      <c r="F38" s="28">
        <f t="shared" si="5"/>
        <v>17546</v>
      </c>
      <c r="G38" s="28">
        <f t="shared" si="5"/>
        <v>17546</v>
      </c>
      <c r="H38" s="28">
        <f t="shared" si="5"/>
        <v>17546</v>
      </c>
      <c r="I38" s="28">
        <f t="shared" si="5"/>
        <v>17546</v>
      </c>
      <c r="J38" s="28">
        <f t="shared" si="5"/>
        <v>17546</v>
      </c>
    </row>
    <row r="39" spans="2:10" ht="13.5" customHeight="1" x14ac:dyDescent="0.15">
      <c r="B39" s="9" t="s">
        <v>88</v>
      </c>
      <c r="C39" s="26">
        <v>0</v>
      </c>
      <c r="D39" s="26">
        <v>0</v>
      </c>
      <c r="E39" s="26">
        <v>0</v>
      </c>
      <c r="F39" s="28">
        <f t="shared" si="5"/>
        <v>0</v>
      </c>
      <c r="G39" s="28">
        <f t="shared" si="5"/>
        <v>0</v>
      </c>
      <c r="H39" s="28">
        <f t="shared" si="5"/>
        <v>0</v>
      </c>
      <c r="I39" s="28">
        <f t="shared" si="5"/>
        <v>0</v>
      </c>
      <c r="J39" s="28">
        <f t="shared" si="5"/>
        <v>0</v>
      </c>
    </row>
    <row r="40" spans="2:10" ht="13.5" customHeight="1" x14ac:dyDescent="0.15">
      <c r="B40" s="9" t="s">
        <v>89</v>
      </c>
      <c r="C40" s="26">
        <v>4137</v>
      </c>
      <c r="D40" s="26">
        <v>5036</v>
      </c>
      <c r="E40" s="26">
        <v>6578</v>
      </c>
      <c r="F40" s="28">
        <f t="shared" si="5"/>
        <v>6578</v>
      </c>
      <c r="G40" s="28">
        <f t="shared" si="5"/>
        <v>6578</v>
      </c>
      <c r="H40" s="28">
        <f t="shared" si="5"/>
        <v>6578</v>
      </c>
      <c r="I40" s="28">
        <f t="shared" si="5"/>
        <v>6578</v>
      </c>
      <c r="J40" s="28">
        <f t="shared" si="5"/>
        <v>6578</v>
      </c>
    </row>
    <row r="41" spans="2:10" ht="13.5" customHeight="1" x14ac:dyDescent="0.15">
      <c r="B41" s="9" t="s">
        <v>90</v>
      </c>
      <c r="C41" s="26">
        <v>55044</v>
      </c>
      <c r="D41" s="26">
        <v>61030</v>
      </c>
      <c r="E41" s="26">
        <v>66421</v>
      </c>
      <c r="F41" s="28">
        <f t="shared" si="5"/>
        <v>66421</v>
      </c>
      <c r="G41" s="28">
        <f t="shared" si="5"/>
        <v>66421</v>
      </c>
      <c r="H41" s="28">
        <f t="shared" si="5"/>
        <v>66421</v>
      </c>
      <c r="I41" s="28">
        <f t="shared" si="5"/>
        <v>66421</v>
      </c>
      <c r="J41" s="28">
        <f t="shared" si="5"/>
        <v>66421</v>
      </c>
    </row>
    <row r="42" spans="2:10" ht="13.5" customHeight="1" x14ac:dyDescent="0.15">
      <c r="B42" s="13"/>
      <c r="C42" s="26"/>
      <c r="D42" s="26"/>
      <c r="E42" s="26"/>
      <c r="F42" s="28"/>
      <c r="G42" s="28"/>
      <c r="H42" s="28"/>
      <c r="I42" s="28"/>
      <c r="J42" s="28"/>
    </row>
    <row r="43" spans="2:10" ht="13.5" customHeight="1" x14ac:dyDescent="0.15">
      <c r="B43" s="150" t="s">
        <v>91</v>
      </c>
      <c r="C43" s="155">
        <f t="shared" ref="C43:J43" si="6">SUM(C35:C41)</f>
        <v>81814</v>
      </c>
      <c r="D43" s="155">
        <f t="shared" si="6"/>
        <v>89122</v>
      </c>
      <c r="E43" s="155">
        <f t="shared" si="6"/>
        <v>102745</v>
      </c>
      <c r="F43" s="156">
        <f t="shared" si="6"/>
        <v>104321.9912</v>
      </c>
      <c r="G43" s="156">
        <f t="shared" si="6"/>
        <v>106113.00005599999</v>
      </c>
      <c r="H43" s="156">
        <f t="shared" si="6"/>
        <v>107981.16006272001</v>
      </c>
      <c r="I43" s="156">
        <f t="shared" si="6"/>
        <v>109899.1376696192</v>
      </c>
      <c r="J43" s="156">
        <f t="shared" si="6"/>
        <v>111834.55143658113</v>
      </c>
    </row>
    <row r="44" spans="2:10" ht="13.5" customHeight="1" x14ac:dyDescent="0.15">
      <c r="B44" s="19"/>
      <c r="C44" s="31"/>
      <c r="D44" s="31"/>
      <c r="E44" s="31"/>
      <c r="F44" s="32"/>
      <c r="G44" s="32"/>
      <c r="H44" s="32"/>
      <c r="I44" s="32"/>
      <c r="J44" s="32"/>
    </row>
    <row r="45" spans="2:10" ht="13.5" customHeight="1" x14ac:dyDescent="0.15">
      <c r="B45" s="7" t="s">
        <v>92</v>
      </c>
      <c r="C45" s="29"/>
      <c r="D45" s="29"/>
      <c r="E45" s="29"/>
      <c r="F45" s="30"/>
      <c r="G45" s="30"/>
      <c r="H45" s="30"/>
      <c r="I45" s="30"/>
      <c r="J45" s="30"/>
    </row>
    <row r="46" spans="2:10" ht="13.5" customHeight="1" x14ac:dyDescent="0.15">
      <c r="B46" s="9" t="s">
        <v>93</v>
      </c>
      <c r="C46" s="26">
        <v>13253</v>
      </c>
      <c r="D46" s="26">
        <v>10883</v>
      </c>
      <c r="E46" s="26">
        <v>46547</v>
      </c>
      <c r="F46" s="28">
        <f t="shared" ref="F46:J51" si="7">E46</f>
        <v>46547</v>
      </c>
      <c r="G46" s="28">
        <f t="shared" si="7"/>
        <v>46547</v>
      </c>
      <c r="H46" s="28">
        <f t="shared" si="7"/>
        <v>46547</v>
      </c>
      <c r="I46" s="28">
        <f t="shared" si="7"/>
        <v>46547</v>
      </c>
      <c r="J46" s="28">
        <f t="shared" si="7"/>
        <v>46547</v>
      </c>
    </row>
    <row r="47" spans="2:10" ht="13.5" customHeight="1" x14ac:dyDescent="0.15">
      <c r="B47" s="9" t="s">
        <v>94</v>
      </c>
      <c r="C47" s="26">
        <v>8474</v>
      </c>
      <c r="D47" s="26">
        <v>8782</v>
      </c>
      <c r="E47" s="26">
        <v>9531</v>
      </c>
      <c r="F47" s="28">
        <f t="shared" si="7"/>
        <v>9531</v>
      </c>
      <c r="G47" s="28">
        <f t="shared" si="7"/>
        <v>9531</v>
      </c>
      <c r="H47" s="28">
        <f t="shared" si="7"/>
        <v>9531</v>
      </c>
      <c r="I47" s="28">
        <f t="shared" si="7"/>
        <v>9531</v>
      </c>
      <c r="J47" s="28">
        <f t="shared" si="7"/>
        <v>9531</v>
      </c>
    </row>
    <row r="48" spans="2:10" ht="13.5" customHeight="1" x14ac:dyDescent="0.15">
      <c r="B48" s="9" t="s">
        <v>95</v>
      </c>
      <c r="C48" s="26">
        <v>911</v>
      </c>
      <c r="D48" s="26">
        <v>0</v>
      </c>
      <c r="E48" s="26">
        <v>0</v>
      </c>
      <c r="F48" s="28">
        <f t="shared" si="7"/>
        <v>0</v>
      </c>
      <c r="G48" s="28">
        <f t="shared" si="7"/>
        <v>0</v>
      </c>
      <c r="H48" s="28">
        <f t="shared" si="7"/>
        <v>0</v>
      </c>
      <c r="I48" s="28">
        <f t="shared" si="7"/>
        <v>0</v>
      </c>
      <c r="J48" s="28">
        <f t="shared" si="7"/>
        <v>0</v>
      </c>
    </row>
    <row r="49" spans="2:10" ht="13.5" customHeight="1" x14ac:dyDescent="0.15">
      <c r="B49" s="9" t="s">
        <v>96</v>
      </c>
      <c r="C49" s="26">
        <v>485</v>
      </c>
      <c r="D49" s="26">
        <v>0</v>
      </c>
      <c r="E49" s="26">
        <v>0</v>
      </c>
      <c r="F49" s="28">
        <f t="shared" si="7"/>
        <v>0</v>
      </c>
      <c r="G49" s="28">
        <f t="shared" si="7"/>
        <v>0</v>
      </c>
      <c r="H49" s="28">
        <f t="shared" si="7"/>
        <v>0</v>
      </c>
      <c r="I49" s="28">
        <f t="shared" si="7"/>
        <v>0</v>
      </c>
      <c r="J49" s="28">
        <f t="shared" si="7"/>
        <v>0</v>
      </c>
    </row>
    <row r="50" spans="2:10" ht="13.5" customHeight="1" x14ac:dyDescent="0.15">
      <c r="B50" s="9" t="s">
        <v>97</v>
      </c>
      <c r="C50" s="26">
        <v>12460</v>
      </c>
      <c r="D50" s="26">
        <v>11691</v>
      </c>
      <c r="E50" s="26">
        <v>12744</v>
      </c>
      <c r="F50" s="28">
        <f t="shared" si="7"/>
        <v>12744</v>
      </c>
      <c r="G50" s="28">
        <f t="shared" si="7"/>
        <v>12744</v>
      </c>
      <c r="H50" s="28">
        <f t="shared" si="7"/>
        <v>12744</v>
      </c>
      <c r="I50" s="28">
        <f t="shared" si="7"/>
        <v>12744</v>
      </c>
      <c r="J50" s="28">
        <f t="shared" si="7"/>
        <v>12744</v>
      </c>
    </row>
    <row r="51" spans="2:10" ht="13.5" customHeight="1" x14ac:dyDescent="0.15">
      <c r="B51" s="9" t="s">
        <v>98</v>
      </c>
      <c r="C51" s="26">
        <v>1616</v>
      </c>
      <c r="D51" s="26">
        <v>4694</v>
      </c>
      <c r="E51" s="26">
        <v>8449</v>
      </c>
      <c r="F51" s="28">
        <f t="shared" si="7"/>
        <v>8449</v>
      </c>
      <c r="G51" s="28">
        <f t="shared" si="7"/>
        <v>8449</v>
      </c>
      <c r="H51" s="28">
        <f t="shared" si="7"/>
        <v>8449</v>
      </c>
      <c r="I51" s="28">
        <f t="shared" si="7"/>
        <v>8449</v>
      </c>
      <c r="J51" s="28">
        <f t="shared" si="7"/>
        <v>8449</v>
      </c>
    </row>
    <row r="52" spans="2:10" ht="13.5" customHeight="1" x14ac:dyDescent="0.15">
      <c r="B52" s="9"/>
      <c r="C52" s="26"/>
      <c r="D52" s="26"/>
      <c r="E52" s="26"/>
      <c r="F52" s="28"/>
      <c r="G52" s="28"/>
      <c r="H52" s="28"/>
      <c r="I52" s="28"/>
      <c r="J52" s="28"/>
    </row>
    <row r="53" spans="2:10" ht="13.5" customHeight="1" x14ac:dyDescent="0.15">
      <c r="B53" s="157" t="s">
        <v>99</v>
      </c>
      <c r="C53" s="155">
        <f t="shared" ref="C53:J53" si="8">SUM(C46:C51)</f>
        <v>37199</v>
      </c>
      <c r="D53" s="155">
        <f t="shared" si="8"/>
        <v>36050</v>
      </c>
      <c r="E53" s="155">
        <f t="shared" si="8"/>
        <v>77271</v>
      </c>
      <c r="F53" s="156">
        <f t="shared" si="8"/>
        <v>77271</v>
      </c>
      <c r="G53" s="156">
        <f t="shared" si="8"/>
        <v>77271</v>
      </c>
      <c r="H53" s="156">
        <f t="shared" si="8"/>
        <v>77271</v>
      </c>
      <c r="I53" s="156">
        <f t="shared" si="8"/>
        <v>77271</v>
      </c>
      <c r="J53" s="156">
        <f t="shared" si="8"/>
        <v>77271</v>
      </c>
    </row>
    <row r="54" spans="2:10" ht="13.5" customHeight="1" x14ac:dyDescent="0.15">
      <c r="B54" s="21"/>
      <c r="C54" s="34"/>
      <c r="D54" s="34"/>
      <c r="E54" s="34"/>
      <c r="F54" s="35"/>
      <c r="G54" s="35"/>
      <c r="H54" s="35"/>
      <c r="I54" s="35"/>
      <c r="J54" s="35"/>
    </row>
    <row r="55" spans="2:10" ht="13.5" customHeight="1" x14ac:dyDescent="0.15">
      <c r="B55" s="150" t="s">
        <v>100</v>
      </c>
      <c r="C55" s="155">
        <f t="shared" ref="C55:J55" si="9">SUM(C43+C53)</f>
        <v>119013</v>
      </c>
      <c r="D55" s="155">
        <f t="shared" si="9"/>
        <v>125172</v>
      </c>
      <c r="E55" s="155">
        <f t="shared" si="9"/>
        <v>180016</v>
      </c>
      <c r="F55" s="156">
        <f t="shared" si="9"/>
        <v>181592.99119999999</v>
      </c>
      <c r="G55" s="156">
        <f t="shared" si="9"/>
        <v>183384.00005599999</v>
      </c>
      <c r="H55" s="156">
        <f t="shared" si="9"/>
        <v>185252.16006272001</v>
      </c>
      <c r="I55" s="156">
        <f t="shared" si="9"/>
        <v>187170.1376696192</v>
      </c>
      <c r="J55" s="156">
        <f t="shared" si="9"/>
        <v>189105.55143658113</v>
      </c>
    </row>
    <row r="56" spans="2:10" ht="13.5" customHeight="1" x14ac:dyDescent="0.15">
      <c r="B56" s="19"/>
      <c r="C56" s="31"/>
      <c r="D56" s="31"/>
      <c r="E56" s="31"/>
      <c r="F56" s="32"/>
      <c r="G56" s="32"/>
      <c r="H56" s="32"/>
      <c r="I56" s="32"/>
      <c r="J56" s="32"/>
    </row>
    <row r="57" spans="2:10" ht="13.5" customHeight="1" x14ac:dyDescent="0.15">
      <c r="B57" s="7" t="s">
        <v>101</v>
      </c>
      <c r="C57" s="29"/>
      <c r="D57" s="29"/>
      <c r="E57" s="29"/>
      <c r="F57" s="30"/>
      <c r="G57" s="30"/>
      <c r="H57" s="30"/>
      <c r="I57" s="30"/>
      <c r="J57" s="30"/>
    </row>
    <row r="58" spans="2:10" ht="13.5" customHeight="1" x14ac:dyDescent="0.15">
      <c r="B58" s="9" t="s">
        <v>102</v>
      </c>
      <c r="C58" s="26">
        <v>76534</v>
      </c>
      <c r="D58" s="26">
        <v>84800</v>
      </c>
      <c r="E58" s="26">
        <v>93126</v>
      </c>
      <c r="F58" s="28">
        <f>E58</f>
        <v>93126</v>
      </c>
      <c r="G58" s="28">
        <f>F58</f>
        <v>93126</v>
      </c>
      <c r="H58" s="28">
        <f>G58</f>
        <v>93126</v>
      </c>
      <c r="I58" s="28">
        <f>H58</f>
        <v>93126</v>
      </c>
      <c r="J58" s="28">
        <f>I58</f>
        <v>93126</v>
      </c>
    </row>
    <row r="59" spans="2:10" ht="13.5" customHeight="1" x14ac:dyDescent="0.15">
      <c r="B59" s="9" t="s">
        <v>103</v>
      </c>
      <c r="C59" s="26">
        <v>211247</v>
      </c>
      <c r="D59" s="26">
        <v>245084</v>
      </c>
      <c r="E59" s="26">
        <v>324055</v>
      </c>
      <c r="F59" s="28">
        <f>(E59+'Income Statement'!F36)-ABS('Cash Flow Statement'!F45)</f>
        <v>439687.27860319999</v>
      </c>
      <c r="G59" s="28">
        <f>(F59+'Income Statement'!G36)-ABS('Cash Flow Statement'!G45)</f>
        <v>572596.48510143184</v>
      </c>
      <c r="H59" s="28">
        <f>(G59+'Income Statement'!H36)-ABS('Cash Flow Statement'!H45)</f>
        <v>723653.61114221392</v>
      </c>
      <c r="I59" s="28">
        <f>(H59+'Income Statement'!I36)-ABS('Cash Flow Statement'!I45)</f>
        <v>893780.06559914816</v>
      </c>
      <c r="J59" s="28">
        <f>(I59+'Income Statement'!J36)-ABS('Cash Flow Statement'!J45)</f>
        <v>1083170.7093774553</v>
      </c>
    </row>
    <row r="60" spans="2:10" ht="13.5" customHeight="1" x14ac:dyDescent="0.15">
      <c r="B60" s="9" t="s">
        <v>104</v>
      </c>
      <c r="C60" s="36">
        <v>4402</v>
      </c>
      <c r="D60" s="36">
        <v>4800</v>
      </c>
      <c r="E60" s="36">
        <v>1916</v>
      </c>
      <c r="F60" s="28">
        <f>E60</f>
        <v>1916</v>
      </c>
      <c r="G60" s="28">
        <f>F60</f>
        <v>1916</v>
      </c>
      <c r="H60" s="28">
        <f>G60</f>
        <v>1916</v>
      </c>
      <c r="I60" s="28">
        <f>H60</f>
        <v>1916</v>
      </c>
      <c r="J60" s="28">
        <f>I60</f>
        <v>1916</v>
      </c>
    </row>
    <row r="61" spans="2:10" ht="13.5" customHeight="1" x14ac:dyDescent="0.15">
      <c r="B61" s="9"/>
      <c r="C61" s="36"/>
      <c r="D61" s="36"/>
      <c r="E61" s="36"/>
      <c r="F61" s="28"/>
      <c r="G61" s="28"/>
      <c r="H61" s="28"/>
      <c r="I61" s="28"/>
      <c r="J61" s="28"/>
    </row>
    <row r="62" spans="2:10" ht="13.5" customHeight="1" x14ac:dyDescent="0.15">
      <c r="B62" s="157" t="s">
        <v>105</v>
      </c>
      <c r="C62" s="155">
        <f t="shared" ref="C62:J62" si="10">SUM(C58:C60)</f>
        <v>292183</v>
      </c>
      <c r="D62" s="155">
        <f t="shared" si="10"/>
        <v>334684</v>
      </c>
      <c r="E62" s="155">
        <f t="shared" si="10"/>
        <v>419097</v>
      </c>
      <c r="F62" s="156">
        <f t="shared" si="10"/>
        <v>534729.27860319999</v>
      </c>
      <c r="G62" s="156">
        <f t="shared" si="10"/>
        <v>667638.48510143184</v>
      </c>
      <c r="H62" s="156">
        <f t="shared" si="10"/>
        <v>818695.61114221392</v>
      </c>
      <c r="I62" s="156">
        <f t="shared" si="10"/>
        <v>988822.06559914816</v>
      </c>
      <c r="J62" s="156">
        <f t="shared" si="10"/>
        <v>1178212.7093774553</v>
      </c>
    </row>
    <row r="63" spans="2:10" ht="13.5" customHeight="1" x14ac:dyDescent="0.15">
      <c r="B63" s="19"/>
      <c r="C63" s="37"/>
      <c r="D63" s="37"/>
      <c r="E63" s="37"/>
      <c r="F63" s="38"/>
      <c r="G63" s="38"/>
      <c r="H63" s="38"/>
      <c r="I63" s="38"/>
      <c r="J63" s="38"/>
    </row>
    <row r="64" spans="2:10" ht="13.5" customHeight="1" x14ac:dyDescent="0.15">
      <c r="B64" s="158" t="s">
        <v>106</v>
      </c>
      <c r="C64" s="159">
        <f t="shared" ref="C64:J64" si="11">SUM(C55+C62)</f>
        <v>411196</v>
      </c>
      <c r="D64" s="159">
        <f t="shared" si="11"/>
        <v>459856</v>
      </c>
      <c r="E64" s="159">
        <f t="shared" si="11"/>
        <v>599113</v>
      </c>
      <c r="F64" s="160">
        <f t="shared" si="11"/>
        <v>716322.26980319992</v>
      </c>
      <c r="G64" s="160">
        <f t="shared" si="11"/>
        <v>851022.4851574318</v>
      </c>
      <c r="H64" s="160">
        <f t="shared" si="11"/>
        <v>1003947.771204934</v>
      </c>
      <c r="I64" s="160">
        <f t="shared" si="11"/>
        <v>1175992.2032687673</v>
      </c>
      <c r="J64" s="160">
        <f t="shared" si="11"/>
        <v>1367318.2608140365</v>
      </c>
    </row>
    <row r="65" spans="2:10" ht="13.5" customHeight="1" x14ac:dyDescent="0.15">
      <c r="B65" s="39"/>
      <c r="C65" s="39"/>
      <c r="D65" s="39"/>
      <c r="E65" s="39"/>
      <c r="F65" s="19"/>
      <c r="G65" s="19"/>
      <c r="H65" s="19"/>
      <c r="I65" s="19"/>
      <c r="J65" s="19"/>
    </row>
    <row r="66" spans="2:10" ht="13.5" customHeight="1" x14ac:dyDescent="0.15">
      <c r="B66" s="68" t="s">
        <v>107</v>
      </c>
      <c r="C66" s="64">
        <f t="shared" ref="C66:J66" si="12">C30-C64</f>
        <v>-8804</v>
      </c>
      <c r="D66" s="52">
        <f t="shared" si="12"/>
        <v>-9600</v>
      </c>
      <c r="E66" s="52">
        <f t="shared" si="12"/>
        <v>-3832</v>
      </c>
      <c r="F66" s="52">
        <f t="shared" si="12"/>
        <v>-3831.9999999998836</v>
      </c>
      <c r="G66" s="52">
        <f t="shared" si="12"/>
        <v>-3831.9999999997672</v>
      </c>
      <c r="H66" s="52">
        <f t="shared" si="12"/>
        <v>-3832</v>
      </c>
      <c r="I66" s="52">
        <f t="shared" si="12"/>
        <v>-3832</v>
      </c>
      <c r="J66" s="52">
        <f t="shared" si="12"/>
        <v>-3831.9999999997672</v>
      </c>
    </row>
  </sheetData>
  <mergeCells count="6">
    <mergeCell ref="F7:J7"/>
    <mergeCell ref="C4:E4"/>
    <mergeCell ref="F4:J4"/>
    <mergeCell ref="C7:E7"/>
    <mergeCell ref="F32:J32"/>
    <mergeCell ref="C32:E3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J57"/>
  <sheetViews>
    <sheetView showGridLines="0" workbookViewId="0"/>
  </sheetViews>
  <sheetFormatPr baseColWidth="10" defaultColWidth="8.83203125" defaultRowHeight="14" x14ac:dyDescent="0.15"/>
  <cols>
    <col min="1" max="1" width="2.83203125" style="1" customWidth="1"/>
    <col min="2" max="2" width="46.1640625" style="1" customWidth="1"/>
    <col min="3" max="10" width="9.5" style="1" customWidth="1"/>
    <col min="11" max="11" width="8.83203125" style="1" customWidth="1"/>
    <col min="12" max="16384" width="8.83203125" style="1"/>
  </cols>
  <sheetData>
    <row r="2" spans="2:10" ht="19.25" customHeight="1" x14ac:dyDescent="0.2">
      <c r="B2" s="2" t="s">
        <v>108</v>
      </c>
    </row>
    <row r="4" spans="2:10" x14ac:dyDescent="0.15">
      <c r="B4" s="16" t="s">
        <v>62</v>
      </c>
      <c r="C4" s="230" t="s">
        <v>8</v>
      </c>
      <c r="D4" s="227"/>
      <c r="E4" s="227"/>
      <c r="F4" s="230" t="s">
        <v>9</v>
      </c>
      <c r="G4" s="227"/>
      <c r="H4" s="227"/>
      <c r="I4" s="227"/>
      <c r="J4" s="227"/>
    </row>
    <row r="5" spans="2:10" x14ac:dyDescent="0.15">
      <c r="B5" s="4"/>
      <c r="C5" s="121" t="s">
        <v>38</v>
      </c>
      <c r="D5" s="121" t="s">
        <v>10</v>
      </c>
      <c r="E5" s="121" t="s">
        <v>11</v>
      </c>
      <c r="F5" s="123" t="s">
        <v>12</v>
      </c>
      <c r="G5" s="123" t="s">
        <v>13</v>
      </c>
      <c r="H5" s="123" t="s">
        <v>14</v>
      </c>
      <c r="I5" s="123" t="s">
        <v>15</v>
      </c>
      <c r="J5" s="123" t="s">
        <v>16</v>
      </c>
    </row>
    <row r="6" spans="2:10" x14ac:dyDescent="0.15">
      <c r="B6" s="20" t="s">
        <v>55</v>
      </c>
      <c r="C6" s="25">
        <f>'Income Statement'!C36</f>
        <v>68767</v>
      </c>
      <c r="D6" s="25">
        <f>'Income Statement'!D36</f>
        <v>100164</v>
      </c>
      <c r="E6" s="25">
        <f>'Income Statement'!E36</f>
        <v>137031</v>
      </c>
      <c r="F6" s="40">
        <f>'Income Statement'!F36</f>
        <v>126686.17860320002</v>
      </c>
      <c r="G6" s="40">
        <f>'Income Statement'!G36</f>
        <v>145068.49649823195</v>
      </c>
      <c r="H6" s="40">
        <f>'Income Statement'!H36</f>
        <v>164310.75214078208</v>
      </c>
      <c r="I6" s="40">
        <f>'Income Statement'!I36</f>
        <v>184572.90690593421</v>
      </c>
      <c r="J6" s="40">
        <f>'Income Statement'!J36</f>
        <v>204992.81242322709</v>
      </c>
    </row>
    <row r="7" spans="2:10" x14ac:dyDescent="0.15">
      <c r="B7" s="20"/>
      <c r="C7" s="25"/>
      <c r="D7" s="25"/>
      <c r="E7" s="25"/>
      <c r="F7" s="41"/>
      <c r="G7" s="41"/>
      <c r="H7" s="41"/>
      <c r="I7" s="41"/>
      <c r="J7" s="41"/>
    </row>
    <row r="8" spans="2:10" x14ac:dyDescent="0.15">
      <c r="B8" s="7" t="s">
        <v>109</v>
      </c>
      <c r="C8" s="42"/>
      <c r="D8" s="42"/>
      <c r="E8" s="42"/>
      <c r="F8" s="43"/>
      <c r="G8" s="43"/>
      <c r="H8" s="43"/>
      <c r="I8" s="43"/>
      <c r="J8" s="43"/>
    </row>
    <row r="10" spans="2:10" x14ac:dyDescent="0.15">
      <c r="B10" s="20" t="s">
        <v>110</v>
      </c>
      <c r="C10" s="44"/>
      <c r="D10" s="44"/>
      <c r="E10" s="44"/>
      <c r="F10" s="41"/>
      <c r="G10" s="41"/>
      <c r="H10" s="41"/>
      <c r="I10" s="41"/>
      <c r="J10" s="41"/>
    </row>
    <row r="11" spans="2:10" x14ac:dyDescent="0.15">
      <c r="B11" s="9" t="s">
        <v>111</v>
      </c>
      <c r="C11" s="36">
        <v>11946</v>
      </c>
      <c r="D11" s="36">
        <v>15311</v>
      </c>
      <c r="E11" s="36">
        <v>21136</v>
      </c>
      <c r="F11" s="28">
        <f>'Income Statement'!F11*Assumptions!E20</f>
        <v>27553.982400000001</v>
      </c>
      <c r="G11" s="28">
        <f>'Income Statement'!G11*Assumptions!F20</f>
        <v>33730.666788000002</v>
      </c>
      <c r="H11" s="28">
        <f>'Income Statement'!H11*Assumptions!G20</f>
        <v>40684.373479680005</v>
      </c>
      <c r="I11" s="28">
        <f>'Income Statement'!I11*Assumptions!H20</f>
        <v>46449.930407086082</v>
      </c>
      <c r="J11" s="28">
        <f>'Income Statement'!J11*Assumptions!I20</f>
        <v>52514.226876900102</v>
      </c>
    </row>
    <row r="12" spans="2:10" x14ac:dyDescent="0.15">
      <c r="B12" s="9" t="s">
        <v>112</v>
      </c>
      <c r="C12" s="36">
        <v>22460</v>
      </c>
      <c r="D12" s="36">
        <v>22785</v>
      </c>
      <c r="E12" s="36">
        <v>24953</v>
      </c>
      <c r="F12" s="28">
        <v>0</v>
      </c>
      <c r="G12" s="28">
        <f t="shared" ref="G12:J14" si="0">F12</f>
        <v>0</v>
      </c>
      <c r="H12" s="28">
        <f t="shared" si="0"/>
        <v>0</v>
      </c>
      <c r="I12" s="28">
        <f t="shared" si="0"/>
        <v>0</v>
      </c>
      <c r="J12" s="28">
        <f t="shared" si="0"/>
        <v>0</v>
      </c>
    </row>
    <row r="13" spans="2:10" x14ac:dyDescent="0.15">
      <c r="B13" s="9" t="s">
        <v>113</v>
      </c>
      <c r="C13" s="36">
        <v>823</v>
      </c>
      <c r="D13" s="36">
        <v>2671</v>
      </c>
      <c r="E13" s="36">
        <v>24620</v>
      </c>
      <c r="F13" s="28">
        <v>0</v>
      </c>
      <c r="G13" s="28">
        <f t="shared" si="0"/>
        <v>0</v>
      </c>
      <c r="H13" s="28">
        <f t="shared" si="0"/>
        <v>0</v>
      </c>
      <c r="I13" s="28">
        <f t="shared" si="0"/>
        <v>0</v>
      </c>
      <c r="J13" s="28">
        <f t="shared" si="0"/>
        <v>0</v>
      </c>
    </row>
    <row r="14" spans="2:10" x14ac:dyDescent="0.15">
      <c r="B14" s="9" t="s">
        <v>96</v>
      </c>
      <c r="C14" s="36">
        <v>7763</v>
      </c>
      <c r="D14" s="36">
        <v>5257</v>
      </c>
      <c r="E14" s="36">
        <v>8348</v>
      </c>
      <c r="F14" s="28">
        <v>0</v>
      </c>
      <c r="G14" s="28">
        <f t="shared" si="0"/>
        <v>0</v>
      </c>
      <c r="H14" s="28">
        <f t="shared" si="0"/>
        <v>0</v>
      </c>
      <c r="I14" s="28">
        <f t="shared" si="0"/>
        <v>0</v>
      </c>
      <c r="J14" s="28">
        <f t="shared" si="0"/>
        <v>0</v>
      </c>
    </row>
    <row r="15" spans="2:10" x14ac:dyDescent="0.15">
      <c r="B15" s="13"/>
      <c r="C15" s="36"/>
      <c r="D15" s="36"/>
      <c r="E15" s="36"/>
      <c r="F15" s="28"/>
      <c r="G15" s="28"/>
      <c r="H15" s="28"/>
      <c r="I15" s="28"/>
      <c r="J15" s="28"/>
    </row>
    <row r="16" spans="2:10" x14ac:dyDescent="0.15">
      <c r="B16" s="20" t="s">
        <v>114</v>
      </c>
      <c r="C16" s="36"/>
      <c r="D16" s="36"/>
      <c r="E16" s="36"/>
      <c r="F16" s="28"/>
      <c r="G16" s="28"/>
      <c r="H16" s="28"/>
      <c r="I16" s="28"/>
      <c r="J16" s="28"/>
    </row>
    <row r="17" spans="2:10" x14ac:dyDescent="0.15">
      <c r="B17" s="9" t="s">
        <v>115</v>
      </c>
      <c r="C17" s="36">
        <v>7833</v>
      </c>
      <c r="D17" s="36">
        <v>5891</v>
      </c>
      <c r="E17" s="36">
        <v>8779</v>
      </c>
      <c r="F17" s="28">
        <f>-('Balance Sheet'!F14-'Balance Sheet'!E14)</f>
        <v>-8754.3542400000006</v>
      </c>
      <c r="G17" s="28">
        <f>-('Balance Sheet'!G14-'Balance Sheet'!F14)</f>
        <v>-9313.2460511999961</v>
      </c>
      <c r="H17" s="28">
        <f>-('Balance Sheet'!H14-'Balance Sheet'!G14)</f>
        <v>-9714.4320349440095</v>
      </c>
      <c r="I17" s="28">
        <f>-('Balance Sheet'!I14-'Balance Sheet'!H14)</f>
        <v>-9973.4835558758496</v>
      </c>
      <c r="J17" s="28">
        <f>-('Balance Sheet'!J14-'Balance Sheet'!I14)</f>
        <v>-10064.151588201988</v>
      </c>
    </row>
    <row r="18" spans="2:10" x14ac:dyDescent="0.15">
      <c r="B18" s="9" t="s">
        <v>116</v>
      </c>
      <c r="C18" s="36">
        <v>0</v>
      </c>
      <c r="D18" s="36">
        <v>0</v>
      </c>
      <c r="E18" s="36">
        <v>0</v>
      </c>
      <c r="F18" s="28">
        <f>-('Balance Sheet'!F15-'Balance Sheet'!E15)</f>
        <v>0</v>
      </c>
      <c r="G18" s="28">
        <f>-('Balance Sheet'!G15-'Balance Sheet'!F15)</f>
        <v>0</v>
      </c>
      <c r="H18" s="28">
        <f>-('Balance Sheet'!H15-'Balance Sheet'!G15)</f>
        <v>0</v>
      </c>
      <c r="I18" s="28">
        <f>-('Balance Sheet'!I15-'Balance Sheet'!H15)</f>
        <v>0</v>
      </c>
      <c r="J18" s="28">
        <f>-('Balance Sheet'!J15-'Balance Sheet'!I15)</f>
        <v>0</v>
      </c>
    </row>
    <row r="19" spans="2:10" x14ac:dyDescent="0.15">
      <c r="B19" s="9" t="s">
        <v>117</v>
      </c>
      <c r="C19" s="36">
        <v>2143</v>
      </c>
      <c r="D19" s="36">
        <v>1397</v>
      </c>
      <c r="E19" s="36">
        <v>4542</v>
      </c>
      <c r="F19" s="28">
        <f>-('Balance Sheet'!F16-'Balance Sheet'!E16)</f>
        <v>0</v>
      </c>
      <c r="G19" s="28">
        <f>-('Balance Sheet'!G16-'Balance Sheet'!F16)</f>
        <v>0</v>
      </c>
      <c r="H19" s="28">
        <f>-('Balance Sheet'!H16-'Balance Sheet'!G16)</f>
        <v>0</v>
      </c>
      <c r="I19" s="28">
        <f>-('Balance Sheet'!I16-'Balance Sheet'!H16)</f>
        <v>0</v>
      </c>
      <c r="J19" s="28">
        <f>-('Balance Sheet'!J16-'Balance Sheet'!I16)</f>
        <v>0</v>
      </c>
    </row>
    <row r="20" spans="2:10" x14ac:dyDescent="0.15">
      <c r="B20" s="9" t="s">
        <v>79</v>
      </c>
      <c r="C20" s="36">
        <v>0</v>
      </c>
      <c r="D20" s="36">
        <v>0</v>
      </c>
      <c r="E20" s="36">
        <v>0</v>
      </c>
      <c r="F20" s="28">
        <f>-('Balance Sheet'!F26-'Balance Sheet'!E26)</f>
        <v>0</v>
      </c>
      <c r="G20" s="28">
        <f>-('Balance Sheet'!G26-'Balance Sheet'!F26)</f>
        <v>0</v>
      </c>
      <c r="H20" s="28">
        <f>-('Balance Sheet'!H26-'Balance Sheet'!G26)</f>
        <v>0</v>
      </c>
      <c r="I20" s="28">
        <f>-('Balance Sheet'!I26-'Balance Sheet'!H26)</f>
        <v>0</v>
      </c>
      <c r="J20" s="28">
        <f>-('Balance Sheet'!J26-'Balance Sheet'!I26)</f>
        <v>0</v>
      </c>
    </row>
    <row r="21" spans="2:10" x14ac:dyDescent="0.15">
      <c r="B21" s="9" t="s">
        <v>84</v>
      </c>
      <c r="C21" s="36">
        <v>664</v>
      </c>
      <c r="D21" s="36">
        <v>359</v>
      </c>
      <c r="E21" s="36">
        <v>907</v>
      </c>
      <c r="F21" s="28">
        <f>'Balance Sheet'!F35-'Balance Sheet'!E35</f>
        <v>1576.9912000000004</v>
      </c>
      <c r="G21" s="28">
        <f>'Balance Sheet'!G35-'Balance Sheet'!F35</f>
        <v>1791.0088559999986</v>
      </c>
      <c r="H21" s="28">
        <f>'Balance Sheet'!H35-'Balance Sheet'!G35</f>
        <v>1868.1600067200034</v>
      </c>
      <c r="I21" s="28">
        <f>'Balance Sheet'!I35-'Balance Sheet'!H35</f>
        <v>1917.9776068991996</v>
      </c>
      <c r="J21" s="28">
        <f>'Balance Sheet'!J35-'Balance Sheet'!I35</f>
        <v>1935.4137669619195</v>
      </c>
    </row>
    <row r="22" spans="2:10" x14ac:dyDescent="0.15">
      <c r="B22" s="9" t="s">
        <v>118</v>
      </c>
      <c r="C22" s="36">
        <v>525</v>
      </c>
      <c r="D22" s="36">
        <v>1043</v>
      </c>
      <c r="E22" s="36">
        <v>2420</v>
      </c>
      <c r="F22" s="28">
        <f>('Balance Sheet'!F40+'Balance Sheet'!F48)-('Balance Sheet'!E40+'Balance Sheet'!E48)</f>
        <v>0</v>
      </c>
      <c r="G22" s="28">
        <f>('Balance Sheet'!G40+'Balance Sheet'!G48)-('Balance Sheet'!F40+'Balance Sheet'!F48)</f>
        <v>0</v>
      </c>
      <c r="H22" s="28">
        <f>('Balance Sheet'!H40+'Balance Sheet'!H48)-('Balance Sheet'!G40+'Balance Sheet'!G48)</f>
        <v>0</v>
      </c>
      <c r="I22" s="28">
        <f>('Balance Sheet'!I40+'Balance Sheet'!I48)-('Balance Sheet'!H40+'Balance Sheet'!H48)</f>
        <v>0</v>
      </c>
      <c r="J22" s="28">
        <f>('Balance Sheet'!J40+'Balance Sheet'!J48)-('Balance Sheet'!I40+'Balance Sheet'!I48)</f>
        <v>0</v>
      </c>
    </row>
    <row r="23" spans="2:10" x14ac:dyDescent="0.15">
      <c r="B23" s="9" t="s">
        <v>119</v>
      </c>
      <c r="C23" s="36">
        <v>523</v>
      </c>
      <c r="D23" s="36">
        <v>2418</v>
      </c>
      <c r="E23" s="36">
        <v>3226</v>
      </c>
      <c r="F23" s="28">
        <f>('Balance Sheet'!F39+'Balance Sheet'!F47)-('Balance Sheet'!E39+'Balance Sheet'!E47)</f>
        <v>0</v>
      </c>
      <c r="G23" s="28">
        <f>('Balance Sheet'!G39+'Balance Sheet'!G47)-('Balance Sheet'!F39+'Balance Sheet'!F47)</f>
        <v>0</v>
      </c>
      <c r="H23" s="28">
        <f>('Balance Sheet'!H39+'Balance Sheet'!H47)-('Balance Sheet'!G39+'Balance Sheet'!G47)</f>
        <v>0</v>
      </c>
      <c r="I23" s="28">
        <f>('Balance Sheet'!I39+'Balance Sheet'!I47)-('Balance Sheet'!H39+'Balance Sheet'!H47)</f>
        <v>0</v>
      </c>
      <c r="J23" s="28">
        <f>('Balance Sheet'!J39+'Balance Sheet'!J47)-('Balance Sheet'!I39+'Balance Sheet'!I47)</f>
        <v>0</v>
      </c>
    </row>
    <row r="24" spans="2:10" x14ac:dyDescent="0.15">
      <c r="B24" s="9" t="s">
        <v>120</v>
      </c>
      <c r="C24" s="36">
        <v>4419</v>
      </c>
      <c r="D24" s="36">
        <v>2220</v>
      </c>
      <c r="E24" s="36">
        <v>13838</v>
      </c>
      <c r="F24" s="28">
        <f>'Balance Sheet'!F41-'Balance Sheet'!E41</f>
        <v>0</v>
      </c>
      <c r="G24" s="28">
        <f>'Balance Sheet'!G41-'Balance Sheet'!F41</f>
        <v>0</v>
      </c>
      <c r="H24" s="28">
        <f>'Balance Sheet'!H41-'Balance Sheet'!G41</f>
        <v>0</v>
      </c>
      <c r="I24" s="28">
        <f>'Balance Sheet'!I41-'Balance Sheet'!H41</f>
        <v>0</v>
      </c>
      <c r="J24" s="28">
        <f>'Balance Sheet'!J41-'Balance Sheet'!I41</f>
        <v>0</v>
      </c>
    </row>
    <row r="25" spans="2:10" x14ac:dyDescent="0.15">
      <c r="B25" s="9" t="s">
        <v>121</v>
      </c>
      <c r="C25" s="36">
        <v>42647</v>
      </c>
      <c r="D25" s="36">
        <v>65947</v>
      </c>
      <c r="E25" s="36">
        <v>51944</v>
      </c>
      <c r="F25" s="28">
        <f>'Balance Sheet'!F51-'Balance Sheet'!E51</f>
        <v>0</v>
      </c>
      <c r="G25" s="28">
        <f>'Balance Sheet'!G51-'Balance Sheet'!F51</f>
        <v>0</v>
      </c>
      <c r="H25" s="28">
        <f>'Balance Sheet'!H51-'Balance Sheet'!G51</f>
        <v>0</v>
      </c>
      <c r="I25" s="28">
        <f>'Balance Sheet'!I51-'Balance Sheet'!H51</f>
        <v>0</v>
      </c>
      <c r="J25" s="28">
        <f>'Balance Sheet'!J51-'Balance Sheet'!I51</f>
        <v>0</v>
      </c>
    </row>
    <row r="26" spans="2:10" x14ac:dyDescent="0.15">
      <c r="B26" s="13"/>
      <c r="C26" s="36"/>
      <c r="D26" s="36"/>
      <c r="E26" s="36"/>
      <c r="F26" s="28"/>
      <c r="G26" s="28"/>
      <c r="H26" s="28"/>
      <c r="I26" s="28"/>
      <c r="J26" s="28"/>
    </row>
    <row r="27" spans="2:10" x14ac:dyDescent="0.15">
      <c r="B27" s="150" t="s">
        <v>122</v>
      </c>
      <c r="C27" s="151">
        <f>SUM(C6:C25)</f>
        <v>170513</v>
      </c>
      <c r="D27" s="151">
        <f>SUM(D6:D25)</f>
        <v>225463</v>
      </c>
      <c r="E27" s="151">
        <f>SUM(E6:E25)</f>
        <v>301744</v>
      </c>
      <c r="F27" s="152">
        <f>F6+SUM(F11:F25)</f>
        <v>147062.79796320002</v>
      </c>
      <c r="G27" s="152">
        <f>G6+SUM(G11:G25)</f>
        <v>171276.92609103196</v>
      </c>
      <c r="H27" s="152">
        <f>H6+SUM(H11:H25)</f>
        <v>197148.85359223807</v>
      </c>
      <c r="I27" s="152">
        <f>I6+SUM(I11:I25)</f>
        <v>222967.33136404364</v>
      </c>
      <c r="J27" s="152">
        <f>J6+SUM(J11:J25)</f>
        <v>249378.30147888712</v>
      </c>
    </row>
    <row r="28" spans="2:10" x14ac:dyDescent="0.15">
      <c r="B28" s="19"/>
      <c r="C28" s="47"/>
      <c r="D28" s="47"/>
      <c r="E28" s="47"/>
      <c r="F28" s="32"/>
      <c r="G28" s="32"/>
      <c r="H28" s="32"/>
      <c r="I28" s="32"/>
      <c r="J28" s="32"/>
    </row>
    <row r="29" spans="2:10" x14ac:dyDescent="0.15">
      <c r="B29" s="7" t="s">
        <v>123</v>
      </c>
      <c r="C29" s="48"/>
      <c r="D29" s="48"/>
      <c r="E29" s="48"/>
      <c r="F29" s="30"/>
      <c r="G29" s="30"/>
      <c r="H29" s="30"/>
      <c r="I29" s="30"/>
      <c r="J29" s="30"/>
    </row>
    <row r="30" spans="2:10" x14ac:dyDescent="0.15">
      <c r="B30" s="9" t="s">
        <v>124</v>
      </c>
      <c r="C30" s="36">
        <v>-32251</v>
      </c>
      <c r="D30" s="36">
        <v>-52535</v>
      </c>
      <c r="E30" s="36">
        <v>-91447</v>
      </c>
      <c r="F30" s="28">
        <f>-'Income Statement'!F11*Assumptions!E19</f>
        <v>-137769.91200000001</v>
      </c>
      <c r="G30" s="28">
        <f>-'Income Statement'!G11*Assumptions!F19</f>
        <v>-140112.000504</v>
      </c>
      <c r="H30" s="28">
        <f>-'Income Statement'!H11*Assumptions!G19</f>
        <v>-139489.28050176002</v>
      </c>
      <c r="I30" s="28">
        <f>-'Income Statement'!I11*Assumptions!H19</f>
        <v>-141930.34291054081</v>
      </c>
      <c r="J30" s="28">
        <f>-'Income Statement'!J11*Assumptions!I19</f>
        <v>-141930.34291054084</v>
      </c>
    </row>
    <row r="31" spans="2:10" x14ac:dyDescent="0.15">
      <c r="B31" s="9" t="s">
        <v>125</v>
      </c>
      <c r="C31" s="36">
        <v>-495</v>
      </c>
      <c r="D31" s="36">
        <v>-2931</v>
      </c>
      <c r="E31" s="36">
        <v>-1592</v>
      </c>
      <c r="F31" s="28">
        <v>0</v>
      </c>
      <c r="G31" s="28">
        <v>0</v>
      </c>
      <c r="H31" s="28">
        <v>0</v>
      </c>
      <c r="I31" s="28">
        <v>0</v>
      </c>
      <c r="J31" s="28">
        <v>0</v>
      </c>
    </row>
    <row r="32" spans="2:10" x14ac:dyDescent="0.15">
      <c r="B32" s="9" t="s">
        <v>126</v>
      </c>
      <c r="C32" s="36">
        <v>-77858</v>
      </c>
      <c r="D32" s="36">
        <v>-86679</v>
      </c>
      <c r="E32" s="36">
        <v>-103773</v>
      </c>
      <c r="F32" s="28">
        <f>-'Income Statement'!F11*Assumptions!E21</f>
        <v>-101031.26880000001</v>
      </c>
      <c r="G32" s="28">
        <f>-'Income Statement'!G11*Assumptions!F21</f>
        <v>-103786.66704</v>
      </c>
      <c r="H32" s="28">
        <f>-'Income Statement'!H11*Assumptions!G21</f>
        <v>-104616.96037632</v>
      </c>
      <c r="I32" s="28">
        <f>-'Income Statement'!I11*Assumptions!H21</f>
        <v>-103222.06757130241</v>
      </c>
      <c r="J32" s="28">
        <f>-'Income Statement'!J11*Assumptions!I21</f>
        <v>-106447.75718290561</v>
      </c>
    </row>
    <row r="33" spans="2:10" x14ac:dyDescent="0.15">
      <c r="B33" s="9" t="s">
        <v>127</v>
      </c>
      <c r="C33" s="36">
        <v>86672</v>
      </c>
      <c r="D33" s="36">
        <v>103428</v>
      </c>
      <c r="E33" s="36">
        <v>83240</v>
      </c>
      <c r="F33" s="28">
        <v>0</v>
      </c>
      <c r="G33" s="28">
        <v>0</v>
      </c>
      <c r="H33" s="28">
        <v>0</v>
      </c>
      <c r="I33" s="28">
        <v>0</v>
      </c>
      <c r="J33" s="28">
        <v>0</v>
      </c>
    </row>
    <row r="34" spans="2:10" x14ac:dyDescent="0.15">
      <c r="B34" s="9" t="s">
        <v>128</v>
      </c>
      <c r="C34" s="36">
        <v>0</v>
      </c>
      <c r="D34" s="36">
        <v>0</v>
      </c>
      <c r="E34" s="36">
        <v>0</v>
      </c>
      <c r="F34" s="28">
        <v>0</v>
      </c>
      <c r="G34" s="28">
        <v>0</v>
      </c>
      <c r="H34" s="28">
        <v>0</v>
      </c>
      <c r="I34" s="28">
        <v>0</v>
      </c>
      <c r="J34" s="28">
        <v>0</v>
      </c>
    </row>
    <row r="35" spans="2:10" x14ac:dyDescent="0.15">
      <c r="B35" s="9" t="s">
        <v>129</v>
      </c>
      <c r="C35" s="36">
        <v>-3131</v>
      </c>
      <c r="D35" s="36">
        <v>-6819</v>
      </c>
      <c r="E35" s="36">
        <v>-6719</v>
      </c>
      <c r="F35" s="28">
        <v>0</v>
      </c>
      <c r="G35" s="28">
        <v>0</v>
      </c>
      <c r="H35" s="28">
        <v>0</v>
      </c>
      <c r="I35" s="28">
        <v>0</v>
      </c>
      <c r="J35" s="28">
        <v>0</v>
      </c>
    </row>
    <row r="36" spans="2:10" x14ac:dyDescent="0.15">
      <c r="B36" s="13"/>
      <c r="C36" s="36"/>
      <c r="D36" s="36"/>
      <c r="E36" s="36"/>
      <c r="F36" s="28"/>
      <c r="G36" s="28"/>
      <c r="H36" s="28"/>
      <c r="I36" s="28"/>
      <c r="J36" s="28"/>
    </row>
    <row r="37" spans="2:10" x14ac:dyDescent="0.15">
      <c r="B37" s="150" t="s">
        <v>130</v>
      </c>
      <c r="C37" s="151">
        <f t="shared" ref="C37:J37" si="1">SUM(C30:C35)</f>
        <v>-27063</v>
      </c>
      <c r="D37" s="151">
        <f t="shared" si="1"/>
        <v>-45536</v>
      </c>
      <c r="E37" s="151">
        <f t="shared" si="1"/>
        <v>-120291</v>
      </c>
      <c r="F37" s="152">
        <f t="shared" si="1"/>
        <v>-238801.18080000003</v>
      </c>
      <c r="G37" s="152">
        <f t="shared" si="1"/>
        <v>-243898.667544</v>
      </c>
      <c r="H37" s="152">
        <f t="shared" si="1"/>
        <v>-244106.24087808002</v>
      </c>
      <c r="I37" s="152">
        <f t="shared" si="1"/>
        <v>-245152.41048184322</v>
      </c>
      <c r="J37" s="152">
        <f t="shared" si="1"/>
        <v>-248378.10009344644</v>
      </c>
    </row>
    <row r="38" spans="2:10" x14ac:dyDescent="0.15">
      <c r="B38" s="19"/>
      <c r="C38" s="47"/>
      <c r="D38" s="47"/>
      <c r="E38" s="47"/>
      <c r="F38" s="32"/>
      <c r="G38" s="32"/>
      <c r="H38" s="32"/>
      <c r="I38" s="32"/>
      <c r="J38" s="32"/>
    </row>
    <row r="39" spans="2:10" x14ac:dyDescent="0.15">
      <c r="B39" s="7" t="s">
        <v>131</v>
      </c>
      <c r="C39" s="48"/>
      <c r="D39" s="48"/>
      <c r="E39" s="48"/>
      <c r="F39" s="30"/>
      <c r="G39" s="30"/>
      <c r="H39" s="30"/>
      <c r="I39" s="30"/>
      <c r="J39" s="30"/>
    </row>
    <row r="40" spans="2:10" x14ac:dyDescent="0.15">
      <c r="B40" s="9" t="s">
        <v>132</v>
      </c>
      <c r="C40" s="36">
        <v>0</v>
      </c>
      <c r="D40" s="36">
        <v>0</v>
      </c>
      <c r="E40" s="36">
        <v>0</v>
      </c>
      <c r="F40" s="28">
        <v>0</v>
      </c>
      <c r="G40" s="28">
        <v>0</v>
      </c>
      <c r="H40" s="28">
        <v>0</v>
      </c>
      <c r="I40" s="28">
        <v>0</v>
      </c>
      <c r="J40" s="28">
        <v>0</v>
      </c>
    </row>
    <row r="41" spans="2:10" x14ac:dyDescent="0.15">
      <c r="B41" s="9" t="s">
        <v>133</v>
      </c>
      <c r="C41" s="36">
        <v>10790</v>
      </c>
      <c r="D41" s="36">
        <v>13589</v>
      </c>
      <c r="E41" s="36">
        <v>64564</v>
      </c>
      <c r="F41" s="28">
        <v>0</v>
      </c>
      <c r="G41" s="28">
        <v>0</v>
      </c>
      <c r="H41" s="28">
        <v>0</v>
      </c>
      <c r="I41" s="28">
        <v>0</v>
      </c>
      <c r="J41" s="28">
        <v>0</v>
      </c>
    </row>
    <row r="42" spans="2:10" x14ac:dyDescent="0.15">
      <c r="B42" s="9" t="s">
        <v>134</v>
      </c>
      <c r="C42" s="36">
        <v>-11550</v>
      </c>
      <c r="D42" s="36">
        <v>-12701</v>
      </c>
      <c r="E42" s="36">
        <v>-32427</v>
      </c>
      <c r="F42" s="28">
        <v>0</v>
      </c>
      <c r="G42" s="28">
        <v>0</v>
      </c>
      <c r="H42" s="28">
        <v>0</v>
      </c>
      <c r="I42" s="28">
        <v>0</v>
      </c>
      <c r="J42" s="28">
        <v>0</v>
      </c>
    </row>
    <row r="43" spans="2:10" x14ac:dyDescent="0.15">
      <c r="B43" s="9" t="s">
        <v>135</v>
      </c>
      <c r="C43" s="36">
        <v>-9837</v>
      </c>
      <c r="D43" s="36">
        <v>-12190</v>
      </c>
      <c r="E43" s="36">
        <v>-14167</v>
      </c>
      <c r="F43" s="28">
        <v>0</v>
      </c>
      <c r="G43" s="28">
        <v>0</v>
      </c>
      <c r="H43" s="28">
        <v>0</v>
      </c>
      <c r="I43" s="28">
        <v>0</v>
      </c>
      <c r="J43" s="28">
        <v>0</v>
      </c>
    </row>
    <row r="44" spans="2:10" x14ac:dyDescent="0.15">
      <c r="B44" s="9" t="s">
        <v>136</v>
      </c>
      <c r="C44" s="36">
        <v>-61504</v>
      </c>
      <c r="D44" s="36">
        <v>-62222</v>
      </c>
      <c r="E44" s="36">
        <v>-45709</v>
      </c>
      <c r="F44" s="28">
        <v>0</v>
      </c>
      <c r="G44" s="28">
        <v>0</v>
      </c>
      <c r="H44" s="28">
        <v>0</v>
      </c>
      <c r="I44" s="28">
        <v>0</v>
      </c>
      <c r="J44" s="28">
        <v>0</v>
      </c>
    </row>
    <row r="45" spans="2:10" x14ac:dyDescent="0.15">
      <c r="B45" s="9" t="s">
        <v>137</v>
      </c>
      <c r="C45" s="36">
        <v>0</v>
      </c>
      <c r="D45" s="36">
        <v>-7363</v>
      </c>
      <c r="E45" s="36">
        <v>-10049</v>
      </c>
      <c r="F45" s="28">
        <f>E45*(1+Assumptions!E29)</f>
        <v>-11053.900000000001</v>
      </c>
      <c r="G45" s="28">
        <f>F45*(1+Assumptions!F29)</f>
        <v>-12159.290000000003</v>
      </c>
      <c r="H45" s="28">
        <f>G45*(1+Assumptions!G29)</f>
        <v>-13253.626100000003</v>
      </c>
      <c r="I45" s="28">
        <f>H45*(1+Assumptions!H29)</f>
        <v>-14446.452449000004</v>
      </c>
      <c r="J45" s="28">
        <f>I45*(1+Assumptions!I29)</f>
        <v>-15602.168644920006</v>
      </c>
    </row>
    <row r="46" spans="2:10" x14ac:dyDescent="0.15">
      <c r="B46" s="9" t="s">
        <v>129</v>
      </c>
      <c r="C46" s="36">
        <v>8</v>
      </c>
      <c r="D46" s="36">
        <v>1154</v>
      </c>
      <c r="E46" s="36">
        <v>400</v>
      </c>
      <c r="F46" s="28">
        <v>0</v>
      </c>
      <c r="G46" s="28">
        <v>0</v>
      </c>
      <c r="H46" s="28">
        <v>0</v>
      </c>
      <c r="I46" s="28">
        <v>0</v>
      </c>
      <c r="J46" s="28">
        <v>0</v>
      </c>
    </row>
    <row r="47" spans="2:10" x14ac:dyDescent="0.15">
      <c r="B47" s="13"/>
      <c r="C47" s="36"/>
      <c r="D47" s="36"/>
      <c r="E47" s="36"/>
      <c r="F47" s="28"/>
      <c r="G47" s="28"/>
      <c r="H47" s="28"/>
      <c r="I47" s="28"/>
      <c r="J47" s="28"/>
    </row>
    <row r="48" spans="2:10" x14ac:dyDescent="0.15">
      <c r="B48" s="150" t="s">
        <v>138</v>
      </c>
      <c r="C48" s="151">
        <f t="shared" ref="C48:J48" si="2">SUM(C40:C46)</f>
        <v>-72093</v>
      </c>
      <c r="D48" s="151">
        <f t="shared" si="2"/>
        <v>-79733</v>
      </c>
      <c r="E48" s="151">
        <f t="shared" si="2"/>
        <v>-37388</v>
      </c>
      <c r="F48" s="152">
        <f t="shared" si="2"/>
        <v>-11053.900000000001</v>
      </c>
      <c r="G48" s="152">
        <f t="shared" si="2"/>
        <v>-12159.290000000003</v>
      </c>
      <c r="H48" s="152">
        <f t="shared" si="2"/>
        <v>-13253.626100000003</v>
      </c>
      <c r="I48" s="152">
        <f t="shared" si="2"/>
        <v>-14446.452449000004</v>
      </c>
      <c r="J48" s="152">
        <f t="shared" si="2"/>
        <v>-15602.168644920006</v>
      </c>
    </row>
    <row r="49" spans="2:10" x14ac:dyDescent="0.15">
      <c r="B49" s="19"/>
      <c r="C49" s="47"/>
      <c r="D49" s="47"/>
      <c r="E49" s="47"/>
      <c r="F49" s="32"/>
      <c r="G49" s="32"/>
      <c r="H49" s="32"/>
      <c r="I49" s="32"/>
      <c r="J49" s="32"/>
    </row>
    <row r="50" spans="2:10" x14ac:dyDescent="0.15">
      <c r="B50" s="9" t="s">
        <v>139</v>
      </c>
      <c r="C50" s="36">
        <v>421</v>
      </c>
      <c r="D50" s="36">
        <v>612</v>
      </c>
      <c r="E50" s="36">
        <v>208</v>
      </c>
      <c r="F50" s="28">
        <v>0</v>
      </c>
      <c r="G50" s="28">
        <v>0</v>
      </c>
      <c r="H50" s="28">
        <v>0</v>
      </c>
      <c r="I50" s="28">
        <v>0</v>
      </c>
      <c r="J50" s="28">
        <v>0</v>
      </c>
    </row>
    <row r="51" spans="2:10" x14ac:dyDescent="0.15">
      <c r="B51" s="9"/>
      <c r="C51" s="36"/>
      <c r="D51" s="36"/>
      <c r="E51" s="36"/>
      <c r="F51" s="28"/>
      <c r="G51" s="28"/>
      <c r="H51" s="28"/>
      <c r="I51" s="28"/>
      <c r="J51" s="28"/>
    </row>
    <row r="52" spans="2:10" x14ac:dyDescent="0.15">
      <c r="B52" s="157" t="s">
        <v>140</v>
      </c>
      <c r="C52" s="151">
        <f>SUM(C27+C37+C48+C50)</f>
        <v>71778</v>
      </c>
      <c r="D52" s="151">
        <f>SUM(D27+D37+D48+D50)</f>
        <v>100806</v>
      </c>
      <c r="E52" s="151">
        <f>SUM(E27+E37+E48+E50)</f>
        <v>144273</v>
      </c>
      <c r="F52" s="152">
        <f>F27+F37+F48+F50</f>
        <v>-102792.2828368</v>
      </c>
      <c r="G52" s="152">
        <f>G27+G37+G48+G50</f>
        <v>-84781.031452968047</v>
      </c>
      <c r="H52" s="152">
        <f>H27+H37+H48+H50</f>
        <v>-60211.01338584195</v>
      </c>
      <c r="I52" s="152">
        <f>I27+I37+I48+I50</f>
        <v>-36631.531566799589</v>
      </c>
      <c r="J52" s="152">
        <f>J27+J37+J48+J50</f>
        <v>-14601.967259479323</v>
      </c>
    </row>
    <row r="53" spans="2:10" x14ac:dyDescent="0.15">
      <c r="B53" s="33"/>
      <c r="C53" s="45"/>
      <c r="D53" s="45"/>
      <c r="E53" s="45"/>
      <c r="F53" s="46"/>
      <c r="G53" s="46"/>
      <c r="H53" s="46"/>
      <c r="I53" s="46"/>
      <c r="J53" s="46"/>
    </row>
    <row r="54" spans="2:10" x14ac:dyDescent="0.15">
      <c r="B54" s="9" t="s">
        <v>141</v>
      </c>
      <c r="C54" s="36">
        <v>13931</v>
      </c>
      <c r="D54" s="36">
        <v>34704</v>
      </c>
      <c r="E54" s="36">
        <v>18315</v>
      </c>
      <c r="F54" s="49">
        <f>'Balance Sheet'!E10</f>
        <v>30708</v>
      </c>
      <c r="G54" s="49">
        <f>'Balance Sheet'!F10</f>
        <v>-72084.282836800005</v>
      </c>
      <c r="H54" s="49">
        <f>'Balance Sheet'!G10</f>
        <v>-156865.31428976805</v>
      </c>
      <c r="I54" s="49">
        <f>'Balance Sheet'!H10</f>
        <v>-217076.32767560999</v>
      </c>
      <c r="J54" s="49">
        <f>'Balance Sheet'!I10</f>
        <v>-253707.85924240958</v>
      </c>
    </row>
    <row r="55" spans="2:10" x14ac:dyDescent="0.15">
      <c r="B55" s="13"/>
      <c r="C55" s="44"/>
      <c r="D55" s="44"/>
      <c r="E55" s="44"/>
      <c r="F55" s="41"/>
      <c r="G55" s="41"/>
      <c r="H55" s="41"/>
      <c r="I55" s="41"/>
      <c r="J55" s="41"/>
    </row>
    <row r="56" spans="2:10" x14ac:dyDescent="0.15">
      <c r="B56" s="150" t="s">
        <v>142</v>
      </c>
      <c r="C56" s="153">
        <f>SUM(C52+C54)</f>
        <v>85709</v>
      </c>
      <c r="D56" s="153">
        <f>SUM(D52+D54)</f>
        <v>135510</v>
      </c>
      <c r="E56" s="153">
        <f>SUM(E52+E54)</f>
        <v>162588</v>
      </c>
      <c r="F56" s="154">
        <f>F54+F52</f>
        <v>-72084.282836800005</v>
      </c>
      <c r="G56" s="154">
        <f>G54+G52</f>
        <v>-156865.31428976805</v>
      </c>
      <c r="H56" s="154">
        <f>H54+H52</f>
        <v>-217076.32767560999</v>
      </c>
      <c r="I56" s="154">
        <f>I54+I52</f>
        <v>-253707.85924240958</v>
      </c>
      <c r="J56" s="154">
        <f>J54+J52</f>
        <v>-268309.82650188892</v>
      </c>
    </row>
    <row r="57" spans="2:10" x14ac:dyDescent="0.15">
      <c r="B57" s="39"/>
      <c r="C57" s="39"/>
      <c r="D57" s="39"/>
      <c r="E57" s="39"/>
      <c r="F57" s="39"/>
      <c r="G57" s="39"/>
      <c r="H57" s="39"/>
      <c r="I57" s="39"/>
      <c r="J57" s="39"/>
    </row>
  </sheetData>
  <mergeCells count="2">
    <mergeCell ref="C4:E4"/>
    <mergeCell ref="F4:J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47"/>
  <sheetViews>
    <sheetView showGridLines="0" workbookViewId="0"/>
  </sheetViews>
  <sheetFormatPr baseColWidth="10" defaultColWidth="8.5" defaultRowHeight="14" x14ac:dyDescent="0.15"/>
  <cols>
    <col min="1" max="1" width="2.83203125" style="51" customWidth="1"/>
    <col min="2" max="2" width="32.1640625" style="94" customWidth="1"/>
    <col min="3" max="8" width="9.83203125" style="51" customWidth="1"/>
    <col min="9" max="9" width="8.5" style="51" customWidth="1"/>
    <col min="10" max="16384" width="8.5" style="51"/>
  </cols>
  <sheetData>
    <row r="1" spans="2:8" x14ac:dyDescent="0.15">
      <c r="B1" s="94" t="s">
        <v>59</v>
      </c>
    </row>
    <row r="2" spans="2:8" ht="19.25" customHeight="1" x14ac:dyDescent="0.15">
      <c r="B2" s="178" t="s">
        <v>143</v>
      </c>
    </row>
    <row r="4" spans="2:8" x14ac:dyDescent="0.15">
      <c r="B4" s="88" t="s">
        <v>144</v>
      </c>
      <c r="C4" s="89"/>
      <c r="D4" s="89"/>
      <c r="E4" s="89"/>
      <c r="F4" s="89"/>
      <c r="G4" s="89"/>
      <c r="H4" s="89"/>
    </row>
    <row r="5" spans="2:8" x14ac:dyDescent="0.15">
      <c r="B5" s="58" t="s">
        <v>144</v>
      </c>
      <c r="C5" s="121" t="s">
        <v>11</v>
      </c>
      <c r="D5" s="122" t="s">
        <v>12</v>
      </c>
      <c r="E5" s="122" t="s">
        <v>13</v>
      </c>
      <c r="F5" s="122" t="s">
        <v>14</v>
      </c>
      <c r="G5" s="122" t="s">
        <v>15</v>
      </c>
      <c r="H5" s="122" t="s">
        <v>16</v>
      </c>
    </row>
    <row r="6" spans="2:8" x14ac:dyDescent="0.15">
      <c r="B6" s="90" t="s">
        <v>145</v>
      </c>
      <c r="C6" s="143">
        <f>'Balance Sheet'!D21</f>
        <v>171036</v>
      </c>
      <c r="D6" s="143">
        <f>'Balance Sheet'!E21</f>
        <v>246597</v>
      </c>
      <c r="E6" s="143">
        <f>'Balance Sheet'!F21</f>
        <v>356812.92960000003</v>
      </c>
      <c r="F6" s="143">
        <f>'Balance Sheet'!G21</f>
        <v>463194.263316</v>
      </c>
      <c r="G6" s="143">
        <f>'Balance Sheet'!H21</f>
        <v>561999.17033807992</v>
      </c>
      <c r="H6" s="143">
        <f>'Balance Sheet'!I21</f>
        <v>657479.58284153475</v>
      </c>
    </row>
    <row r="7" spans="2:8" x14ac:dyDescent="0.15">
      <c r="B7" s="90" t="s">
        <v>146</v>
      </c>
      <c r="C7" s="96">
        <f>-'Cash Flow Statement'!E30</f>
        <v>91447</v>
      </c>
      <c r="D7" s="96">
        <f>-'Cash Flow Statement'!F30</f>
        <v>137769.91200000001</v>
      </c>
      <c r="E7" s="96">
        <f>-'Cash Flow Statement'!G30</f>
        <v>140112.000504</v>
      </c>
      <c r="F7" s="96">
        <f>-'Cash Flow Statement'!H30</f>
        <v>139489.28050176002</v>
      </c>
      <c r="G7" s="96">
        <f>-'Cash Flow Statement'!I30</f>
        <v>141930.34291054081</v>
      </c>
      <c r="H7" s="96">
        <f>-'Cash Flow Statement'!J30</f>
        <v>141930.34291054084</v>
      </c>
    </row>
    <row r="8" spans="2:8" x14ac:dyDescent="0.15">
      <c r="B8" s="90" t="s">
        <v>147</v>
      </c>
      <c r="C8" s="96">
        <f>'Cash Flow Statement'!E11</f>
        <v>21136</v>
      </c>
      <c r="D8" s="96">
        <f>'Cash Flow Statement'!F11</f>
        <v>27553.982400000001</v>
      </c>
      <c r="E8" s="96">
        <f>'Cash Flow Statement'!G11</f>
        <v>33730.666788000002</v>
      </c>
      <c r="F8" s="96">
        <f>'Cash Flow Statement'!H11</f>
        <v>40684.373479680005</v>
      </c>
      <c r="G8" s="96">
        <f>'Cash Flow Statement'!I11</f>
        <v>46449.930407086082</v>
      </c>
      <c r="H8" s="96">
        <f>'Cash Flow Statement'!J11</f>
        <v>52514.226876900102</v>
      </c>
    </row>
    <row r="9" spans="2:8" x14ac:dyDescent="0.15">
      <c r="B9" s="90" t="s">
        <v>148</v>
      </c>
      <c r="C9" s="144">
        <v>38977</v>
      </c>
      <c r="D9" s="144">
        <v>0</v>
      </c>
      <c r="E9" s="144">
        <v>0</v>
      </c>
      <c r="F9" s="144">
        <v>0</v>
      </c>
      <c r="G9" s="144">
        <v>0</v>
      </c>
      <c r="H9" s="144">
        <v>0</v>
      </c>
    </row>
    <row r="10" spans="2:8" x14ac:dyDescent="0.15">
      <c r="B10" s="101" t="s">
        <v>149</v>
      </c>
      <c r="C10" s="92">
        <f t="shared" ref="C10:H10" si="0">C6+C7-C8+C9</f>
        <v>280324</v>
      </c>
      <c r="D10" s="92">
        <f t="shared" si="0"/>
        <v>356812.92960000003</v>
      </c>
      <c r="E10" s="92">
        <f t="shared" si="0"/>
        <v>463194.263316</v>
      </c>
      <c r="F10" s="92">
        <f t="shared" si="0"/>
        <v>561999.17033807992</v>
      </c>
      <c r="G10" s="92">
        <f t="shared" si="0"/>
        <v>657479.58284153475</v>
      </c>
      <c r="H10" s="92">
        <f t="shared" si="0"/>
        <v>746895.69887517556</v>
      </c>
    </row>
    <row r="11" spans="2:8" x14ac:dyDescent="0.15">
      <c r="B11" s="101"/>
      <c r="C11" s="92"/>
      <c r="D11" s="92"/>
      <c r="E11" s="92"/>
      <c r="F11" s="92"/>
      <c r="G11" s="92"/>
      <c r="H11" s="92"/>
    </row>
    <row r="12" spans="2:8" x14ac:dyDescent="0.15">
      <c r="B12" s="93" t="s">
        <v>150</v>
      </c>
      <c r="C12" s="93"/>
      <c r="D12" s="93"/>
      <c r="E12" s="93"/>
      <c r="F12" s="93"/>
      <c r="G12" s="93"/>
      <c r="H12" s="93"/>
    </row>
    <row r="13" spans="2:8" x14ac:dyDescent="0.15">
      <c r="C13" s="95"/>
      <c r="D13" s="95"/>
      <c r="E13" s="95"/>
      <c r="F13" s="95"/>
      <c r="G13" s="95"/>
      <c r="H13" s="95"/>
    </row>
    <row r="14" spans="2:8" x14ac:dyDescent="0.15">
      <c r="B14" s="58" t="s">
        <v>115</v>
      </c>
      <c r="C14" s="121" t="s">
        <v>11</v>
      </c>
      <c r="D14" s="122" t="s">
        <v>12</v>
      </c>
      <c r="E14" s="122" t="s">
        <v>13</v>
      </c>
      <c r="F14" s="122" t="s">
        <v>14</v>
      </c>
      <c r="G14" s="122" t="s">
        <v>15</v>
      </c>
      <c r="H14" s="122" t="s">
        <v>16</v>
      </c>
    </row>
    <row r="15" spans="2:8" x14ac:dyDescent="0.15">
      <c r="B15" s="90" t="s">
        <v>151</v>
      </c>
      <c r="C15" s="96">
        <f>'Income Statement'!E11</f>
        <v>402836</v>
      </c>
      <c r="D15" s="96">
        <f>'Income Statement'!F11</f>
        <v>459233.04000000004</v>
      </c>
      <c r="E15" s="96">
        <f>'Income Statement'!G11</f>
        <v>518933.33519999997</v>
      </c>
      <c r="F15" s="96">
        <f>'Income Statement'!H11</f>
        <v>581205.33542400005</v>
      </c>
      <c r="G15" s="96">
        <f>'Income Statement'!I11</f>
        <v>645137.92232064006</v>
      </c>
      <c r="H15" s="96">
        <f>'Income Statement'!J11</f>
        <v>709651.71455270413</v>
      </c>
    </row>
    <row r="16" spans="2:8" x14ac:dyDescent="0.15">
      <c r="B16" s="90" t="s">
        <v>152</v>
      </c>
      <c r="C16" s="97">
        <f>'Balance Sheet'!E14/C15</f>
        <v>0.15610819291225214</v>
      </c>
      <c r="D16" s="98">
        <f>Assumptions!E24</f>
        <v>0.156</v>
      </c>
      <c r="E16" s="98">
        <f>Assumptions!F24</f>
        <v>0.156</v>
      </c>
      <c r="F16" s="98">
        <f>Assumptions!G24</f>
        <v>0.156</v>
      </c>
      <c r="G16" s="98">
        <f>Assumptions!H24</f>
        <v>0.156</v>
      </c>
      <c r="H16" s="98">
        <f>Assumptions!I24</f>
        <v>0.156</v>
      </c>
    </row>
    <row r="17" spans="2:8" x14ac:dyDescent="0.15">
      <c r="B17" s="90" t="s">
        <v>153</v>
      </c>
      <c r="C17" s="91">
        <f t="shared" ref="C17:H17" si="1">C15*C16</f>
        <v>62886.000000000007</v>
      </c>
      <c r="D17" s="91">
        <f t="shared" si="1"/>
        <v>71640.354240000001</v>
      </c>
      <c r="E17" s="91">
        <f t="shared" si="1"/>
        <v>80953.600291199997</v>
      </c>
      <c r="F17" s="91">
        <f t="shared" si="1"/>
        <v>90668.032326144006</v>
      </c>
      <c r="G17" s="91">
        <f t="shared" si="1"/>
        <v>100641.51588201986</v>
      </c>
      <c r="H17" s="91">
        <f t="shared" si="1"/>
        <v>110705.66747022184</v>
      </c>
    </row>
    <row r="18" spans="2:8" x14ac:dyDescent="0.15">
      <c r="C18" s="95"/>
      <c r="D18" s="95"/>
      <c r="E18" s="95"/>
      <c r="F18" s="95"/>
      <c r="G18" s="95"/>
      <c r="H18" s="95"/>
    </row>
    <row r="19" spans="2:8" x14ac:dyDescent="0.15">
      <c r="B19" s="58" t="s">
        <v>154</v>
      </c>
      <c r="C19" s="121" t="s">
        <v>11</v>
      </c>
      <c r="D19" s="122" t="s">
        <v>12</v>
      </c>
      <c r="E19" s="122" t="s">
        <v>13</v>
      </c>
      <c r="F19" s="122" t="s">
        <v>14</v>
      </c>
      <c r="G19" s="122" t="s">
        <v>15</v>
      </c>
      <c r="H19" s="122" t="s">
        <v>16</v>
      </c>
    </row>
    <row r="20" spans="2:8" x14ac:dyDescent="0.15">
      <c r="B20" s="90" t="s">
        <v>151</v>
      </c>
      <c r="C20" s="96">
        <f>'Income Statement'!E11</f>
        <v>402836</v>
      </c>
      <c r="D20" s="96">
        <f>'Income Statement'!F11</f>
        <v>459233.04000000004</v>
      </c>
      <c r="E20" s="96">
        <f>'Income Statement'!G11</f>
        <v>518933.33519999997</v>
      </c>
      <c r="F20" s="96">
        <f>'Income Statement'!H11</f>
        <v>581205.33542400005</v>
      </c>
      <c r="G20" s="96">
        <f>'Income Statement'!I11</f>
        <v>645137.92232064006</v>
      </c>
      <c r="H20" s="96">
        <f>'Income Statement'!J11</f>
        <v>709651.71455270413</v>
      </c>
    </row>
    <row r="21" spans="2:8" x14ac:dyDescent="0.15">
      <c r="B21" s="90" t="s">
        <v>155</v>
      </c>
      <c r="C21" s="97">
        <f>'Balance Sheet'!E15/C20</f>
        <v>0</v>
      </c>
      <c r="D21" s="98">
        <f>Assumptions!E25</f>
        <v>0</v>
      </c>
      <c r="E21" s="98">
        <f>Assumptions!F25</f>
        <v>0</v>
      </c>
      <c r="F21" s="98">
        <f>Assumptions!G25</f>
        <v>0</v>
      </c>
      <c r="G21" s="98">
        <f>Assumptions!H25</f>
        <v>0</v>
      </c>
      <c r="H21" s="98">
        <f>Assumptions!I25</f>
        <v>0</v>
      </c>
    </row>
    <row r="22" spans="2:8" x14ac:dyDescent="0.15">
      <c r="B22" s="90" t="s">
        <v>156</v>
      </c>
      <c r="C22" s="91">
        <f t="shared" ref="C22:H22" si="2">C20*C21</f>
        <v>0</v>
      </c>
      <c r="D22" s="91">
        <f t="shared" si="2"/>
        <v>0</v>
      </c>
      <c r="E22" s="91">
        <f t="shared" si="2"/>
        <v>0</v>
      </c>
      <c r="F22" s="91">
        <f t="shared" si="2"/>
        <v>0</v>
      </c>
      <c r="G22" s="91">
        <f t="shared" si="2"/>
        <v>0</v>
      </c>
      <c r="H22" s="91">
        <f t="shared" si="2"/>
        <v>0</v>
      </c>
    </row>
    <row r="23" spans="2:8" x14ac:dyDescent="0.15">
      <c r="C23" s="95"/>
      <c r="D23" s="95"/>
      <c r="E23" s="95"/>
      <c r="F23" s="95"/>
      <c r="G23" s="95"/>
      <c r="H23" s="95"/>
    </row>
    <row r="24" spans="2:8" x14ac:dyDescent="0.15">
      <c r="B24" s="58" t="s">
        <v>84</v>
      </c>
      <c r="C24" s="112" t="s">
        <v>11</v>
      </c>
      <c r="D24" s="55" t="s">
        <v>12</v>
      </c>
      <c r="E24" s="55" t="s">
        <v>13</v>
      </c>
      <c r="F24" s="55" t="s">
        <v>14</v>
      </c>
      <c r="G24" s="55" t="s">
        <v>15</v>
      </c>
      <c r="H24" s="55" t="s">
        <v>16</v>
      </c>
    </row>
    <row r="25" spans="2:8" x14ac:dyDescent="0.15">
      <c r="B25" s="90" t="s">
        <v>151</v>
      </c>
      <c r="C25" s="96">
        <f>'Income Statement'!E11</f>
        <v>402836</v>
      </c>
      <c r="D25" s="96">
        <f>'Income Statement'!F11</f>
        <v>459233.04000000004</v>
      </c>
      <c r="E25" s="96">
        <f>'Income Statement'!G11</f>
        <v>518933.33519999997</v>
      </c>
      <c r="F25" s="96">
        <f>'Income Statement'!H11</f>
        <v>581205.33542400005</v>
      </c>
      <c r="G25" s="96">
        <f>'Income Statement'!I11</f>
        <v>645137.92232064006</v>
      </c>
      <c r="H25" s="96">
        <f>'Income Statement'!J11</f>
        <v>709651.71455270413</v>
      </c>
    </row>
    <row r="26" spans="2:8" x14ac:dyDescent="0.15">
      <c r="B26" s="90" t="s">
        <v>157</v>
      </c>
      <c r="C26" s="97">
        <f>'Balance Sheet'!E35/C25</f>
        <v>3.0285277383352033E-2</v>
      </c>
      <c r="D26" s="98">
        <f>Assumptions!E26</f>
        <v>0.03</v>
      </c>
      <c r="E26" s="98">
        <f>Assumptions!F26</f>
        <v>0.03</v>
      </c>
      <c r="F26" s="98">
        <f>Assumptions!G26</f>
        <v>0.03</v>
      </c>
      <c r="G26" s="98">
        <f>Assumptions!H26</f>
        <v>0.03</v>
      </c>
      <c r="H26" s="98">
        <f>Assumptions!I26</f>
        <v>0.03</v>
      </c>
    </row>
    <row r="27" spans="2:8" x14ac:dyDescent="0.15">
      <c r="B27" s="90" t="s">
        <v>158</v>
      </c>
      <c r="C27" s="91">
        <f t="shared" ref="C27:H27" si="3">C25*C26</f>
        <v>12200</v>
      </c>
      <c r="D27" s="91">
        <f t="shared" si="3"/>
        <v>13776.9912</v>
      </c>
      <c r="E27" s="91">
        <f t="shared" si="3"/>
        <v>15568.000055999999</v>
      </c>
      <c r="F27" s="91">
        <f t="shared" si="3"/>
        <v>17436.160062720002</v>
      </c>
      <c r="G27" s="91">
        <f t="shared" si="3"/>
        <v>19354.137669619202</v>
      </c>
      <c r="H27" s="91">
        <f t="shared" si="3"/>
        <v>21289.551436581121</v>
      </c>
    </row>
    <row r="28" spans="2:8" x14ac:dyDescent="0.15">
      <c r="B28" s="90"/>
      <c r="C28" s="91"/>
      <c r="D28" s="91"/>
      <c r="E28" s="91"/>
      <c r="F28" s="91"/>
      <c r="G28" s="91"/>
      <c r="H28" s="91"/>
    </row>
    <row r="29" spans="2:8" x14ac:dyDescent="0.15">
      <c r="B29" s="90" t="s">
        <v>159</v>
      </c>
      <c r="C29" s="91">
        <f t="shared" ref="C29:H29" si="4">C17+C22-C27</f>
        <v>50686.000000000007</v>
      </c>
      <c r="D29" s="91">
        <f t="shared" si="4"/>
        <v>57863.363039999997</v>
      </c>
      <c r="E29" s="91">
        <f t="shared" si="4"/>
        <v>65385.6002352</v>
      </c>
      <c r="F29" s="91">
        <f t="shared" si="4"/>
        <v>73231.872263424011</v>
      </c>
      <c r="G29" s="91">
        <f t="shared" si="4"/>
        <v>81287.378212400654</v>
      </c>
      <c r="H29" s="91">
        <f t="shared" si="4"/>
        <v>89416.116033640719</v>
      </c>
    </row>
    <row r="30" spans="2:8" x14ac:dyDescent="0.15">
      <c r="B30" s="90" t="s">
        <v>160</v>
      </c>
      <c r="C30" s="91"/>
      <c r="D30" s="91">
        <f>D29-C29</f>
        <v>7177.3630399999893</v>
      </c>
      <c r="E30" s="91">
        <f>E29-D29</f>
        <v>7522.237195200003</v>
      </c>
      <c r="F30" s="91">
        <f>F29-E29</f>
        <v>7846.2720282240116</v>
      </c>
      <c r="G30" s="91">
        <f>G29-F29</f>
        <v>8055.5059489766427</v>
      </c>
      <c r="H30" s="91">
        <f>H29-G29</f>
        <v>8128.7378212400654</v>
      </c>
    </row>
    <row r="31" spans="2:8" x14ac:dyDescent="0.15">
      <c r="B31" s="90"/>
      <c r="C31" s="91"/>
      <c r="D31" s="91"/>
      <c r="E31" s="91"/>
      <c r="F31" s="91"/>
      <c r="G31" s="91"/>
      <c r="H31" s="91"/>
    </row>
    <row r="32" spans="2:8" x14ac:dyDescent="0.15">
      <c r="B32" s="93" t="s">
        <v>161</v>
      </c>
      <c r="C32" s="93"/>
      <c r="D32" s="93"/>
      <c r="E32" s="93"/>
      <c r="F32" s="93"/>
      <c r="G32" s="93"/>
      <c r="H32" s="93"/>
    </row>
    <row r="33" spans="2:8" x14ac:dyDescent="0.15">
      <c r="C33" s="95"/>
      <c r="D33" s="95"/>
      <c r="E33" s="95"/>
      <c r="F33" s="95"/>
      <c r="G33" s="95"/>
      <c r="H33" s="95"/>
    </row>
    <row r="34" spans="2:8" x14ac:dyDescent="0.15">
      <c r="B34" s="58" t="s">
        <v>67</v>
      </c>
      <c r="C34" s="112" t="s">
        <v>11</v>
      </c>
      <c r="D34" s="55" t="s">
        <v>12</v>
      </c>
      <c r="E34" s="55" t="s">
        <v>13</v>
      </c>
      <c r="F34" s="55" t="s">
        <v>14</v>
      </c>
      <c r="G34" s="55" t="s">
        <v>15</v>
      </c>
      <c r="H34" s="55" t="s">
        <v>16</v>
      </c>
    </row>
    <row r="35" spans="2:8" x14ac:dyDescent="0.15">
      <c r="B35" s="90" t="s">
        <v>162</v>
      </c>
      <c r="C35" s="96">
        <f>'Balance Sheet'!D11</f>
        <v>72191</v>
      </c>
      <c r="D35" s="96">
        <f>C40</f>
        <v>96135</v>
      </c>
      <c r="E35" s="96">
        <f>D40</f>
        <v>197166.26880000002</v>
      </c>
      <c r="F35" s="96">
        <f>E40</f>
        <v>300952.93584000005</v>
      </c>
      <c r="G35" s="96">
        <f>F40</f>
        <v>405569.89621632005</v>
      </c>
      <c r="H35" s="96">
        <f>G40</f>
        <v>508791.96378762246</v>
      </c>
    </row>
    <row r="36" spans="2:8" x14ac:dyDescent="0.15">
      <c r="B36" s="90" t="s">
        <v>163</v>
      </c>
      <c r="C36" s="96">
        <f>-'Cash Flow Statement'!E32</f>
        <v>103773</v>
      </c>
      <c r="D36" s="96">
        <f>-'Cash Flow Statement'!F32</f>
        <v>101031.26880000001</v>
      </c>
      <c r="E36" s="96">
        <f>-'Cash Flow Statement'!G32</f>
        <v>103786.66704</v>
      </c>
      <c r="F36" s="96">
        <f>-'Cash Flow Statement'!H32</f>
        <v>104616.96037632</v>
      </c>
      <c r="G36" s="96">
        <f>-'Cash Flow Statement'!I32</f>
        <v>103222.06757130241</v>
      </c>
      <c r="H36" s="96">
        <f>-'Cash Flow Statement'!J32</f>
        <v>106447.75718290561</v>
      </c>
    </row>
    <row r="37" spans="2:8" x14ac:dyDescent="0.15">
      <c r="B37" s="197" t="s">
        <v>164</v>
      </c>
      <c r="C37" s="200">
        <v>16079</v>
      </c>
      <c r="D37" s="202">
        <v>0</v>
      </c>
      <c r="E37" s="202">
        <v>0</v>
      </c>
      <c r="F37" s="202">
        <v>0</v>
      </c>
      <c r="G37" s="202">
        <v>0</v>
      </c>
      <c r="H37" s="202">
        <v>0</v>
      </c>
    </row>
    <row r="38" spans="2:8" x14ac:dyDescent="0.15">
      <c r="B38" s="199" t="s">
        <v>165</v>
      </c>
      <c r="C38" s="200">
        <f>'Cash Flow Statement'!E34</f>
        <v>0</v>
      </c>
      <c r="D38" s="202">
        <v>0</v>
      </c>
      <c r="E38" s="202">
        <v>0</v>
      </c>
      <c r="F38" s="202">
        <v>0</v>
      </c>
      <c r="G38" s="202">
        <v>0</v>
      </c>
      <c r="H38" s="202">
        <v>0</v>
      </c>
    </row>
    <row r="39" spans="2:8" x14ac:dyDescent="0.15">
      <c r="B39" s="197" t="s">
        <v>166</v>
      </c>
      <c r="C39" s="201">
        <f>'Balance Sheet'!E11-C35-C36+C37+C38</f>
        <v>-63750</v>
      </c>
      <c r="D39" s="202">
        <v>0</v>
      </c>
      <c r="E39" s="202">
        <v>0</v>
      </c>
      <c r="F39" s="202">
        <v>0</v>
      </c>
      <c r="G39" s="202">
        <v>0</v>
      </c>
      <c r="H39" s="202">
        <v>0</v>
      </c>
    </row>
    <row r="40" spans="2:8" x14ac:dyDescent="0.15">
      <c r="B40" s="198" t="s">
        <v>167</v>
      </c>
      <c r="C40" s="201">
        <f t="shared" ref="C40:H40" si="5">C35+C36-C37-C38+C39</f>
        <v>96135</v>
      </c>
      <c r="D40" s="201">
        <f t="shared" si="5"/>
        <v>197166.26880000002</v>
      </c>
      <c r="E40" s="201">
        <f t="shared" si="5"/>
        <v>300952.93584000005</v>
      </c>
      <c r="F40" s="201">
        <f t="shared" si="5"/>
        <v>405569.89621632005</v>
      </c>
      <c r="G40" s="201">
        <f t="shared" si="5"/>
        <v>508791.96378762246</v>
      </c>
      <c r="H40" s="201">
        <f t="shared" si="5"/>
        <v>615239.72097052808</v>
      </c>
    </row>
    <row r="41" spans="2:8" x14ac:dyDescent="0.15">
      <c r="B41" s="203"/>
      <c r="C41" s="204"/>
      <c r="D41" s="205"/>
      <c r="E41" s="205"/>
      <c r="F41" s="205"/>
      <c r="G41" s="205"/>
      <c r="H41" s="205"/>
    </row>
    <row r="42" spans="2:8" x14ac:dyDescent="0.15">
      <c r="B42" s="206" t="s">
        <v>168</v>
      </c>
      <c r="C42" s="207"/>
      <c r="D42" s="207"/>
      <c r="E42" s="207"/>
      <c r="F42" s="207"/>
      <c r="G42" s="207"/>
      <c r="H42" s="207"/>
    </row>
    <row r="43" spans="2:8" x14ac:dyDescent="0.15">
      <c r="B43" s="196"/>
      <c r="C43" s="208"/>
      <c r="D43" s="208"/>
      <c r="E43" s="208"/>
      <c r="F43" s="208"/>
      <c r="G43" s="208"/>
      <c r="H43" s="208"/>
    </row>
    <row r="44" spans="2:8" x14ac:dyDescent="0.15">
      <c r="B44" s="209" t="s">
        <v>169</v>
      </c>
      <c r="C44" s="211">
        <f t="shared" ref="C44:H44" si="6">C42*C43</f>
        <v>0</v>
      </c>
      <c r="D44" s="210">
        <f t="shared" si="6"/>
        <v>0</v>
      </c>
      <c r="E44" s="210">
        <f t="shared" si="6"/>
        <v>0</v>
      </c>
      <c r="F44" s="210">
        <f t="shared" si="6"/>
        <v>0</v>
      </c>
      <c r="G44" s="210">
        <f t="shared" si="6"/>
        <v>0</v>
      </c>
      <c r="H44" s="210">
        <f t="shared" si="6"/>
        <v>0</v>
      </c>
    </row>
    <row r="45" spans="2:8" x14ac:dyDescent="0.15">
      <c r="B45" s="198" t="s">
        <v>151</v>
      </c>
      <c r="C45" s="200">
        <f>'Income Statement'!E11</f>
        <v>402836</v>
      </c>
      <c r="D45" s="200">
        <f>'Income Statement'!F11</f>
        <v>459233.04000000004</v>
      </c>
      <c r="E45" s="200">
        <f>'Income Statement'!G11</f>
        <v>518933.33519999997</v>
      </c>
      <c r="F45" s="200">
        <f>'Income Statement'!H11</f>
        <v>581205.33542400005</v>
      </c>
      <c r="G45" s="200">
        <f>'Income Statement'!I11</f>
        <v>645137.92232064006</v>
      </c>
      <c r="H45" s="200">
        <f>'Income Statement'!J11</f>
        <v>709651.71455270413</v>
      </c>
    </row>
    <row r="46" spans="2:8" x14ac:dyDescent="0.15">
      <c r="B46" s="198" t="s">
        <v>170</v>
      </c>
      <c r="C46" s="212">
        <f>'Cash Flow Statement'!E11/C45</f>
        <v>5.2468001866764639E-2</v>
      </c>
      <c r="D46" s="212">
        <f>Assumptions!E20</f>
        <v>0.06</v>
      </c>
      <c r="E46" s="212">
        <f>Assumptions!F20</f>
        <v>6.5000000000000002E-2</v>
      </c>
      <c r="F46" s="212">
        <f>Assumptions!G20</f>
        <v>7.0000000000000007E-2</v>
      </c>
      <c r="G46" s="212">
        <f>Assumptions!H20</f>
        <v>7.1999999999999995E-2</v>
      </c>
      <c r="H46" s="212">
        <f>Assumptions!I20</f>
        <v>7.3999999999999996E-2</v>
      </c>
    </row>
    <row r="47" spans="2:8" x14ac:dyDescent="0.15">
      <c r="B47" s="198" t="s">
        <v>171</v>
      </c>
      <c r="C47" s="201">
        <f t="shared" ref="C47:H47" si="7">C45*C46</f>
        <v>21136</v>
      </c>
      <c r="D47" s="201">
        <f t="shared" si="7"/>
        <v>27553.982400000001</v>
      </c>
      <c r="E47" s="201">
        <f t="shared" si="7"/>
        <v>33730.666788000002</v>
      </c>
      <c r="F47" s="201">
        <f t="shared" si="7"/>
        <v>40684.373479680005</v>
      </c>
      <c r="G47" s="201">
        <f t="shared" si="7"/>
        <v>46449.930407086082</v>
      </c>
      <c r="H47" s="201">
        <f t="shared" si="7"/>
        <v>52514.226876900102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K74"/>
  <sheetViews>
    <sheetView showGridLines="0" zoomScale="96" workbookViewId="0">
      <selection activeCell="D52" sqref="D52"/>
    </sheetView>
  </sheetViews>
  <sheetFormatPr baseColWidth="10" defaultColWidth="8.5" defaultRowHeight="14" x14ac:dyDescent="0.15"/>
  <cols>
    <col min="1" max="1" width="2.83203125" style="105" customWidth="1"/>
    <col min="2" max="2" width="37" style="51" customWidth="1"/>
    <col min="3" max="3" width="11.5" style="51" bestFit="1" customWidth="1"/>
    <col min="4" max="7" width="9.5" style="51" customWidth="1"/>
    <col min="8" max="8" width="8.5" style="51" customWidth="1"/>
    <col min="9" max="9" width="37.5" style="51" customWidth="1"/>
    <col min="10" max="10" width="11.1640625" style="51" customWidth="1"/>
    <col min="11" max="11" width="8.5" style="105" customWidth="1"/>
    <col min="12" max="16384" width="8.5" style="105"/>
  </cols>
  <sheetData>
    <row r="2" spans="2:10" ht="19.25" customHeight="1" x14ac:dyDescent="0.2">
      <c r="B2" s="109" t="s">
        <v>172</v>
      </c>
    </row>
    <row r="4" spans="2:10" x14ac:dyDescent="0.15">
      <c r="B4" s="118" t="s">
        <v>173</v>
      </c>
      <c r="C4" s="110"/>
      <c r="D4" s="110"/>
      <c r="E4" s="110"/>
      <c r="F4" s="110"/>
      <c r="G4" s="110"/>
      <c r="I4" s="118" t="s">
        <v>174</v>
      </c>
      <c r="J4" s="110"/>
    </row>
    <row r="5" spans="2:10" x14ac:dyDescent="0.15">
      <c r="B5" s="119" t="s">
        <v>175</v>
      </c>
      <c r="C5" s="124" t="s">
        <v>12</v>
      </c>
      <c r="D5" s="125" t="s">
        <v>13</v>
      </c>
      <c r="E5" s="125" t="s">
        <v>14</v>
      </c>
      <c r="F5" s="125" t="s">
        <v>15</v>
      </c>
      <c r="G5" s="125" t="s">
        <v>16</v>
      </c>
      <c r="I5" s="52" t="s">
        <v>176</v>
      </c>
      <c r="J5" s="134">
        <v>4.6100000000000002E-2</v>
      </c>
    </row>
    <row r="6" spans="2:10" x14ac:dyDescent="0.15">
      <c r="B6" s="60" t="s">
        <v>151</v>
      </c>
      <c r="C6" s="126">
        <f>'Income Statement'!F11</f>
        <v>459233.04000000004</v>
      </c>
      <c r="D6" s="126">
        <f>'Income Statement'!G11</f>
        <v>518933.33519999997</v>
      </c>
      <c r="E6" s="126">
        <f>'Income Statement'!H11</f>
        <v>581205.33542400005</v>
      </c>
      <c r="F6" s="126">
        <f>'Income Statement'!I11</f>
        <v>645137.92232064006</v>
      </c>
      <c r="G6" s="126">
        <f>'Income Statement'!J11</f>
        <v>709651.71455270413</v>
      </c>
      <c r="I6" s="52" t="s">
        <v>177</v>
      </c>
      <c r="J6" s="135">
        <v>1.1000000000000001</v>
      </c>
    </row>
    <row r="7" spans="2:10" x14ac:dyDescent="0.15">
      <c r="B7" s="60" t="s">
        <v>178</v>
      </c>
      <c r="C7" s="127">
        <f>'Income Statement'!F11/'Income Statement'!E11-1</f>
        <v>0.14000000000000012</v>
      </c>
      <c r="D7" s="127">
        <f>'Income Statement'!G11/'Income Statement'!F11-1</f>
        <v>0.12999999999999989</v>
      </c>
      <c r="E7" s="127">
        <f>'Income Statement'!H11/'Income Statement'!G11-1</f>
        <v>0.12000000000000011</v>
      </c>
      <c r="F7" s="127">
        <f>'Income Statement'!I11/'Income Statement'!H11-1</f>
        <v>0.1100000000000001</v>
      </c>
      <c r="G7" s="127">
        <f>'Income Statement'!J11/'Income Statement'!I11-1</f>
        <v>0.10000000000000009</v>
      </c>
      <c r="I7" s="52" t="s">
        <v>179</v>
      </c>
      <c r="J7" s="134">
        <v>4.8000000000000001E-2</v>
      </c>
    </row>
    <row r="8" spans="2:10" x14ac:dyDescent="0.15">
      <c r="B8" s="52"/>
      <c r="C8" s="128"/>
      <c r="D8" s="128"/>
      <c r="E8" s="128"/>
      <c r="F8" s="128"/>
      <c r="G8" s="128"/>
      <c r="I8" s="68" t="s">
        <v>180</v>
      </c>
      <c r="J8" s="107">
        <f>J5+(J6*J7)</f>
        <v>9.8900000000000016E-2</v>
      </c>
    </row>
    <row r="9" spans="2:10" x14ac:dyDescent="0.15">
      <c r="B9" s="60" t="s">
        <v>181</v>
      </c>
      <c r="C9" s="129">
        <f>'Income Statement'!F28</f>
        <v>146495.33976000003</v>
      </c>
      <c r="D9" s="129">
        <f>'Income Statement'!G28</f>
        <v>168912.80060759996</v>
      </c>
      <c r="E9" s="129">
        <f>'Income Statement'!H28</f>
        <v>192378.96602534398</v>
      </c>
      <c r="F9" s="129">
        <f>'Income Statement'!I28</f>
        <v>217088.91086089538</v>
      </c>
      <c r="G9" s="129">
        <f>'Income Statement'!J28</f>
        <v>241991.23466247207</v>
      </c>
    </row>
    <row r="10" spans="2:10" x14ac:dyDescent="0.15">
      <c r="B10" s="60" t="s">
        <v>182</v>
      </c>
      <c r="C10" s="127">
        <f>'Income Statement'!F28/'Income Statement'!F11</f>
        <v>0.31900000000000006</v>
      </c>
      <c r="D10" s="127">
        <f>'Income Statement'!G28/'Income Statement'!G11</f>
        <v>0.32549999999999996</v>
      </c>
      <c r="E10" s="127">
        <f>'Income Statement'!H28/'Income Statement'!H11</f>
        <v>0.33099999999999996</v>
      </c>
      <c r="F10" s="127">
        <f>'Income Statement'!I28/'Income Statement'!I11</f>
        <v>0.33650000000000002</v>
      </c>
      <c r="G10" s="127">
        <f>'Income Statement'!J28/'Income Statement'!J11</f>
        <v>0.34099999999999997</v>
      </c>
      <c r="I10" s="52" t="s">
        <v>183</v>
      </c>
      <c r="J10" s="134">
        <v>4.9000000000000002E-2</v>
      </c>
    </row>
    <row r="11" spans="2:10" x14ac:dyDescent="0.15">
      <c r="B11" s="52"/>
      <c r="C11" s="128"/>
      <c r="D11" s="128"/>
      <c r="E11" s="128"/>
      <c r="F11" s="128"/>
      <c r="G11" s="128"/>
      <c r="I11" s="52" t="s">
        <v>184</v>
      </c>
      <c r="J11" s="136">
        <f>Assumptions!E16</f>
        <v>0.18</v>
      </c>
    </row>
    <row r="12" spans="2:10" x14ac:dyDescent="0.15">
      <c r="B12" s="60" t="s">
        <v>185</v>
      </c>
      <c r="C12" s="128">
        <f>'Income Statement'!F28*Assumptions!E16</f>
        <v>26369.161156800004</v>
      </c>
      <c r="D12" s="128">
        <f>'Income Statement'!G28*Assumptions!F16</f>
        <v>30404.304109367993</v>
      </c>
      <c r="E12" s="128">
        <f>'Income Statement'!H28*Assumptions!G16</f>
        <v>34628.213884561912</v>
      </c>
      <c r="F12" s="128">
        <f>'Income Statement'!I28*Assumptions!H16</f>
        <v>39076.003954961168</v>
      </c>
      <c r="G12" s="128">
        <f>'Income Statement'!J28*Assumptions!I16</f>
        <v>43558.422239244974</v>
      </c>
      <c r="I12" s="68" t="s">
        <v>186</v>
      </c>
      <c r="J12" s="107">
        <f>J10*(1-J11)</f>
        <v>4.0180000000000007E-2</v>
      </c>
    </row>
    <row r="13" spans="2:10" x14ac:dyDescent="0.15">
      <c r="C13" s="106"/>
      <c r="D13" s="106"/>
      <c r="E13" s="106"/>
      <c r="F13" s="106"/>
      <c r="G13" s="106"/>
    </row>
    <row r="14" spans="2:10" x14ac:dyDescent="0.15">
      <c r="B14" s="167" t="s">
        <v>187</v>
      </c>
      <c r="C14" s="175">
        <f>C9-C12</f>
        <v>120126.17860320002</v>
      </c>
      <c r="D14" s="175">
        <f>D9-D12</f>
        <v>138508.49649823195</v>
      </c>
      <c r="E14" s="175">
        <f>E9-E12</f>
        <v>157750.75214078208</v>
      </c>
      <c r="F14" s="175">
        <f>F9-F12</f>
        <v>178012.90690593421</v>
      </c>
      <c r="G14" s="175">
        <f>G9-G12</f>
        <v>198432.81242322709</v>
      </c>
      <c r="I14" s="52" t="s">
        <v>188</v>
      </c>
      <c r="J14" s="137">
        <f>J19*'Income Statement'!E44</f>
        <v>3916168.3</v>
      </c>
    </row>
    <row r="15" spans="2:10" x14ac:dyDescent="0.15">
      <c r="B15" s="115"/>
      <c r="C15" s="116"/>
      <c r="D15" s="116"/>
      <c r="E15" s="116"/>
      <c r="F15" s="116"/>
      <c r="G15" s="116"/>
      <c r="I15" s="138" t="s">
        <v>189</v>
      </c>
      <c r="J15" s="139">
        <f>'Balance Sheet'!E36+'Balance Sheet'!E37+'Balance Sheet'!E46</f>
        <v>46547</v>
      </c>
    </row>
    <row r="16" spans="2:10" x14ac:dyDescent="0.15">
      <c r="B16" s="60" t="s">
        <v>190</v>
      </c>
      <c r="C16" s="129">
        <f>'Cash Flow Statement'!F11</f>
        <v>27553.982400000001</v>
      </c>
      <c r="D16" s="129">
        <f>'Cash Flow Statement'!G11</f>
        <v>33730.666788000002</v>
      </c>
      <c r="E16" s="129">
        <f>'Cash Flow Statement'!H11</f>
        <v>40684.373479680005</v>
      </c>
      <c r="F16" s="129">
        <f>'Cash Flow Statement'!I11</f>
        <v>46449.930407086082</v>
      </c>
      <c r="G16" s="129">
        <f>'Cash Flow Statement'!J11</f>
        <v>52514.226876900102</v>
      </c>
      <c r="I16" s="52" t="s">
        <v>191</v>
      </c>
      <c r="J16" s="137">
        <f>J14+J15</f>
        <v>3962715.3</v>
      </c>
    </row>
    <row r="17" spans="2:11" x14ac:dyDescent="0.15">
      <c r="B17" s="60" t="s">
        <v>192</v>
      </c>
      <c r="C17" s="129">
        <f>'Cash Flow Statement'!F30</f>
        <v>-137769.91200000001</v>
      </c>
      <c r="D17" s="129">
        <f>'Cash Flow Statement'!G30</f>
        <v>-140112.000504</v>
      </c>
      <c r="E17" s="129">
        <f>'Cash Flow Statement'!H30</f>
        <v>-139489.28050176002</v>
      </c>
      <c r="F17" s="129">
        <f>'Cash Flow Statement'!I30</f>
        <v>-141930.34291054081</v>
      </c>
      <c r="G17" s="129">
        <f>'Cash Flow Statement'!J30</f>
        <v>-141930.34291054084</v>
      </c>
      <c r="I17" s="52" t="s">
        <v>193</v>
      </c>
      <c r="J17" s="140">
        <f>J14/J16</f>
        <v>0.98825376125304787</v>
      </c>
    </row>
    <row r="18" spans="2:11" x14ac:dyDescent="0.15">
      <c r="B18" s="60" t="s">
        <v>160</v>
      </c>
      <c r="C18" s="129">
        <f>'Supporting Schedules'!D30</f>
        <v>7177.3630399999893</v>
      </c>
      <c r="D18" s="129">
        <f>'Supporting Schedules'!E30</f>
        <v>7522.237195200003</v>
      </c>
      <c r="E18" s="129">
        <f>'Supporting Schedules'!F30</f>
        <v>7846.2720282240116</v>
      </c>
      <c r="F18" s="129">
        <f>'Supporting Schedules'!G30</f>
        <v>8055.5059489766427</v>
      </c>
      <c r="G18" s="129">
        <f>'Supporting Schedules'!H30</f>
        <v>8128.7378212400654</v>
      </c>
      <c r="I18" s="52" t="s">
        <v>194</v>
      </c>
      <c r="J18" s="140">
        <f>J15/J16</f>
        <v>1.1746238746952123E-2</v>
      </c>
    </row>
    <row r="19" spans="2:11" x14ac:dyDescent="0.15">
      <c r="C19" s="106"/>
      <c r="D19" s="106"/>
      <c r="E19" s="106"/>
      <c r="F19" s="106"/>
      <c r="G19" s="106"/>
      <c r="I19" s="52" t="s">
        <v>195</v>
      </c>
      <c r="J19" s="141">
        <v>320.20999999999998</v>
      </c>
    </row>
    <row r="20" spans="2:11" x14ac:dyDescent="0.15">
      <c r="B20" s="167" t="s">
        <v>196</v>
      </c>
      <c r="C20" s="183">
        <f>C14+C16+C17-C18</f>
        <v>2732.8859632000167</v>
      </c>
      <c r="D20" s="183">
        <f>D14+D16+D17-D18</f>
        <v>24604.925587031954</v>
      </c>
      <c r="E20" s="183">
        <f>E14+E16+E17-E18</f>
        <v>51099.573090478058</v>
      </c>
      <c r="F20" s="183">
        <f>F14+F16+F17-F18</f>
        <v>74476.988453502854</v>
      </c>
      <c r="G20" s="183">
        <f>G14+G16+G17-G18</f>
        <v>100887.95856834628</v>
      </c>
      <c r="I20" s="52" t="s">
        <v>197</v>
      </c>
      <c r="J20" s="142">
        <v>46321</v>
      </c>
    </row>
    <row r="21" spans="2:11" x14ac:dyDescent="0.15">
      <c r="B21" s="113"/>
      <c r="C21" s="114"/>
      <c r="D21" s="114"/>
      <c r="E21" s="114"/>
      <c r="F21" s="114"/>
      <c r="G21" s="114"/>
      <c r="I21" s="68" t="s">
        <v>198</v>
      </c>
      <c r="J21" s="107">
        <f>J17*J8+J18*J12</f>
        <v>9.8210260860778983E-2</v>
      </c>
    </row>
    <row r="22" spans="2:11" x14ac:dyDescent="0.15">
      <c r="B22" s="60" t="s">
        <v>199</v>
      </c>
      <c r="C22" s="127"/>
      <c r="D22" s="127">
        <f>D20/C20-1</f>
        <v>8.0032756281646389</v>
      </c>
      <c r="E22" s="127">
        <f>E20/D20-1</f>
        <v>1.0768025861216231</v>
      </c>
      <c r="F22" s="127">
        <f>F20/E20-1</f>
        <v>0.45748748862602473</v>
      </c>
      <c r="G22" s="127">
        <f>G20/F20-1</f>
        <v>0.35461920068548691</v>
      </c>
      <c r="I22" s="52" t="s">
        <v>200</v>
      </c>
      <c r="J22" s="134">
        <v>2.5000000000000001E-2</v>
      </c>
    </row>
    <row r="23" spans="2:11" x14ac:dyDescent="0.15">
      <c r="B23" s="120"/>
    </row>
    <row r="24" spans="2:11" x14ac:dyDescent="0.15">
      <c r="B24" s="118" t="s">
        <v>201</v>
      </c>
      <c r="C24" s="110"/>
      <c r="D24" s="118"/>
      <c r="E24" s="110"/>
      <c r="F24" s="118"/>
      <c r="G24" s="110"/>
      <c r="I24" s="174" t="s">
        <v>202</v>
      </c>
      <c r="J24" s="173"/>
    </row>
    <row r="25" spans="2:11" x14ac:dyDescent="0.15">
      <c r="B25" s="119" t="s">
        <v>62</v>
      </c>
      <c r="C25" s="124" t="s">
        <v>12</v>
      </c>
      <c r="D25" s="125" t="s">
        <v>13</v>
      </c>
      <c r="E25" s="125" t="s">
        <v>14</v>
      </c>
      <c r="F25" s="125" t="s">
        <v>15</v>
      </c>
      <c r="G25" s="125" t="s">
        <v>16</v>
      </c>
      <c r="I25" s="68" t="s">
        <v>203</v>
      </c>
      <c r="J25" s="179">
        <f>'Income Statement'!E44</f>
        <v>12230</v>
      </c>
    </row>
    <row r="26" spans="2:11" x14ac:dyDescent="0.15">
      <c r="B26" s="60" t="s">
        <v>204</v>
      </c>
      <c r="C26" s="52">
        <v>1</v>
      </c>
      <c r="D26" s="52">
        <v>2</v>
      </c>
      <c r="E26" s="52">
        <v>3</v>
      </c>
      <c r="F26" s="52">
        <v>4</v>
      </c>
      <c r="G26" s="52">
        <v>5</v>
      </c>
      <c r="I26" s="68" t="s">
        <v>205</v>
      </c>
      <c r="J26" s="180">
        <f>C60</f>
        <v>93.241955374057028</v>
      </c>
      <c r="K26" s="51"/>
    </row>
    <row r="27" spans="2:11" x14ac:dyDescent="0.15">
      <c r="B27" s="60" t="s">
        <v>206</v>
      </c>
      <c r="C27" s="130">
        <f>C20</f>
        <v>2732.8859632000167</v>
      </c>
      <c r="D27" s="130">
        <f>D20</f>
        <v>24604.925587031954</v>
      </c>
      <c r="E27" s="130">
        <f>E20</f>
        <v>51099.573090478058</v>
      </c>
      <c r="F27" s="130">
        <f>F20</f>
        <v>74476.988453502854</v>
      </c>
      <c r="G27" s="130">
        <f>G20</f>
        <v>100887.95856834628</v>
      </c>
      <c r="I27" s="68" t="s">
        <v>207</v>
      </c>
      <c r="J27" s="181">
        <f>J19</f>
        <v>320.20999999999998</v>
      </c>
      <c r="K27" s="51"/>
    </row>
    <row r="28" spans="2:11" x14ac:dyDescent="0.15">
      <c r="B28" s="60" t="s">
        <v>208</v>
      </c>
      <c r="C28" s="131">
        <f>1/(1+$J$21)^C26</f>
        <v>0.91057244285461192</v>
      </c>
      <c r="D28" s="131">
        <f>1/(1+$J$21)^D26</f>
        <v>0.82914217368621546</v>
      </c>
      <c r="E28" s="131">
        <f>1/(1+$J$21)^E26</f>
        <v>0.75499401456724013</v>
      </c>
      <c r="F28" s="131">
        <f>1/(1+$J$21)^F26</f>
        <v>0.68747674418510241</v>
      </c>
      <c r="G28" s="131">
        <f>1/(1+$J$21)^G26</f>
        <v>0.62599737835836378</v>
      </c>
      <c r="I28" s="68" t="s">
        <v>209</v>
      </c>
      <c r="J28" s="182">
        <f>C63</f>
        <v>-0.70880998290479047</v>
      </c>
      <c r="K28" s="51"/>
    </row>
    <row r="29" spans="2:11" x14ac:dyDescent="0.15">
      <c r="B29" s="60"/>
      <c r="C29" s="131"/>
      <c r="D29" s="131"/>
      <c r="E29" s="131"/>
      <c r="F29" s="131"/>
      <c r="G29" s="131"/>
      <c r="K29" s="51"/>
    </row>
    <row r="30" spans="2:11" x14ac:dyDescent="0.15">
      <c r="B30" s="167" t="s">
        <v>210</v>
      </c>
      <c r="C30" s="176">
        <f>C27*C28</f>
        <v>2488.4906475541184</v>
      </c>
      <c r="D30" s="176">
        <f>D27*D28</f>
        <v>20400.981484619257</v>
      </c>
      <c r="E30" s="176">
        <f>E27*E28</f>
        <v>38579.871830252145</v>
      </c>
      <c r="F30" s="176">
        <f>F27*F28</f>
        <v>51201.19753872561</v>
      </c>
      <c r="G30" s="176">
        <f>G27*G28</f>
        <v>63155.597571711995</v>
      </c>
    </row>
    <row r="31" spans="2:11" x14ac:dyDescent="0.15">
      <c r="B31" s="115"/>
      <c r="C31" s="115"/>
      <c r="D31" s="115"/>
      <c r="E31" s="115"/>
      <c r="F31" s="115"/>
      <c r="G31" s="115"/>
    </row>
    <row r="32" spans="2:11" x14ac:dyDescent="0.15">
      <c r="B32" s="68" t="s">
        <v>211</v>
      </c>
      <c r="C32" s="108">
        <f>SUM(C30:G30)</f>
        <v>175826.13907286312</v>
      </c>
    </row>
    <row r="34" spans="2:10" x14ac:dyDescent="0.15">
      <c r="B34" s="118" t="s">
        <v>212</v>
      </c>
      <c r="C34" s="110"/>
    </row>
    <row r="35" spans="2:10" x14ac:dyDescent="0.15">
      <c r="B35" s="60" t="s">
        <v>213</v>
      </c>
      <c r="C35" s="130">
        <f>G20</f>
        <v>100887.95856834628</v>
      </c>
    </row>
    <row r="36" spans="2:10" x14ac:dyDescent="0.15">
      <c r="B36" s="60" t="s">
        <v>200</v>
      </c>
      <c r="C36" s="132">
        <f>J22</f>
        <v>2.5000000000000001E-2</v>
      </c>
    </row>
    <row r="37" spans="2:10" x14ac:dyDescent="0.15">
      <c r="B37" s="60" t="s">
        <v>214</v>
      </c>
      <c r="C37" s="184">
        <f>C35*(1+C36)</f>
        <v>103410.15753255492</v>
      </c>
    </row>
    <row r="38" spans="2:10" x14ac:dyDescent="0.15">
      <c r="B38" s="60" t="s">
        <v>198</v>
      </c>
      <c r="C38" s="132">
        <f>J21</f>
        <v>9.8210260860778983E-2</v>
      </c>
    </row>
    <row r="40" spans="2:10" x14ac:dyDescent="0.15">
      <c r="B40" s="167" t="s">
        <v>212</v>
      </c>
      <c r="C40" s="185">
        <f>C37/(C38-C36)</f>
        <v>1412509.070678028</v>
      </c>
    </row>
    <row r="41" spans="2:10" x14ac:dyDescent="0.15">
      <c r="B41" s="113"/>
      <c r="C41" s="117"/>
    </row>
    <row r="42" spans="2:10" x14ac:dyDescent="0.15">
      <c r="B42" s="60" t="s">
        <v>215</v>
      </c>
      <c r="C42" s="131">
        <f>G28</f>
        <v>0.62599737835836378</v>
      </c>
    </row>
    <row r="43" spans="2:10" x14ac:dyDescent="0.15">
      <c r="B43" s="146"/>
      <c r="C43" s="147"/>
    </row>
    <row r="44" spans="2:10" x14ac:dyDescent="0.15">
      <c r="B44" s="167" t="s">
        <v>216</v>
      </c>
      <c r="C44" s="176">
        <f>C40*C42</f>
        <v>884226.97515185433</v>
      </c>
    </row>
    <row r="45" spans="2:10" x14ac:dyDescent="0.15">
      <c r="B45" s="115"/>
      <c r="C45" s="115"/>
      <c r="I45" s="105"/>
      <c r="J45" s="105"/>
    </row>
    <row r="46" spans="2:10" x14ac:dyDescent="0.15">
      <c r="B46" s="118" t="s">
        <v>217</v>
      </c>
      <c r="C46" s="110"/>
      <c r="I46" s="105"/>
      <c r="J46" s="105"/>
    </row>
    <row r="47" spans="2:10" x14ac:dyDescent="0.15">
      <c r="B47" s="119" t="s">
        <v>175</v>
      </c>
      <c r="C47" s="111"/>
      <c r="I47" s="105"/>
      <c r="J47" s="105"/>
    </row>
    <row r="48" spans="2:10" x14ac:dyDescent="0.15">
      <c r="I48" s="105"/>
      <c r="J48" s="105"/>
    </row>
    <row r="49" spans="2:3" x14ac:dyDescent="0.15">
      <c r="B49" s="60" t="s">
        <v>211</v>
      </c>
      <c r="C49" s="130">
        <f>C32</f>
        <v>175826.13907286312</v>
      </c>
    </row>
    <row r="50" spans="2:3" x14ac:dyDescent="0.15">
      <c r="B50" s="60" t="s">
        <v>216</v>
      </c>
      <c r="C50" s="184">
        <f>C44</f>
        <v>884226.97515185433</v>
      </c>
    </row>
    <row r="52" spans="2:3" x14ac:dyDescent="0.15">
      <c r="B52" s="167" t="s">
        <v>218</v>
      </c>
      <c r="C52" s="185">
        <f>SUM(C49:C50)</f>
        <v>1060053.1142247175</v>
      </c>
    </row>
    <row r="53" spans="2:3" x14ac:dyDescent="0.15">
      <c r="B53" s="115"/>
      <c r="C53" s="115"/>
    </row>
    <row r="54" spans="2:3" x14ac:dyDescent="0.15">
      <c r="B54" s="60" t="s">
        <v>219</v>
      </c>
      <c r="C54" s="186">
        <f>'Balance Sheet'!E13</f>
        <v>126843</v>
      </c>
    </row>
    <row r="55" spans="2:3" x14ac:dyDescent="0.15">
      <c r="B55" s="60" t="s">
        <v>220</v>
      </c>
      <c r="C55" s="184">
        <f>J15</f>
        <v>46547</v>
      </c>
    </row>
    <row r="57" spans="2:3" x14ac:dyDescent="0.15">
      <c r="B57" s="167" t="s">
        <v>221</v>
      </c>
      <c r="C57" s="185">
        <f>C52+C54-C55</f>
        <v>1140349.1142247175</v>
      </c>
    </row>
    <row r="58" spans="2:3" x14ac:dyDescent="0.15">
      <c r="B58" s="115"/>
      <c r="C58" s="115"/>
    </row>
    <row r="59" spans="2:3" x14ac:dyDescent="0.15">
      <c r="B59" s="60" t="s">
        <v>203</v>
      </c>
      <c r="C59" s="186">
        <f>'Income Statement'!E44</f>
        <v>12230</v>
      </c>
    </row>
    <row r="60" spans="2:3" x14ac:dyDescent="0.15">
      <c r="B60" s="60" t="s">
        <v>205</v>
      </c>
      <c r="C60" s="184">
        <f>C57/C59</f>
        <v>93.241955374057028</v>
      </c>
    </row>
    <row r="61" spans="2:3" x14ac:dyDescent="0.15">
      <c r="B61" s="60" t="s">
        <v>222</v>
      </c>
      <c r="C61" s="133">
        <f>J19</f>
        <v>320.20999999999998</v>
      </c>
    </row>
    <row r="62" spans="2:3" x14ac:dyDescent="0.15">
      <c r="B62" s="60"/>
      <c r="C62" s="133"/>
    </row>
    <row r="63" spans="2:3" x14ac:dyDescent="0.15">
      <c r="B63" s="167" t="s">
        <v>209</v>
      </c>
      <c r="C63" s="177">
        <f>C60/C61-1</f>
        <v>-0.70880998290479047</v>
      </c>
    </row>
    <row r="64" spans="2:3" x14ac:dyDescent="0.15">
      <c r="B64" s="115"/>
      <c r="C64" s="115"/>
    </row>
    <row r="74" spans="9:10" x14ac:dyDescent="0.15">
      <c r="I74" s="105"/>
      <c r="J74" s="10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G18"/>
  <sheetViews>
    <sheetView showGridLines="0" workbookViewId="0"/>
  </sheetViews>
  <sheetFormatPr baseColWidth="10" defaultColWidth="8.5" defaultRowHeight="14" x14ac:dyDescent="0.15"/>
  <cols>
    <col min="1" max="1" width="2.83203125" style="187" customWidth="1"/>
    <col min="2" max="2" width="29" style="187" customWidth="1"/>
    <col min="3" max="8" width="14" style="187" customWidth="1"/>
    <col min="9" max="9" width="8.5" style="187" customWidth="1"/>
    <col min="10" max="16384" width="8.5" style="187"/>
  </cols>
  <sheetData>
    <row r="2" spans="2:7" ht="19.25" customHeight="1" x14ac:dyDescent="0.2">
      <c r="B2" s="221" t="s">
        <v>223</v>
      </c>
    </row>
    <row r="4" spans="2:7" x14ac:dyDescent="0.15">
      <c r="B4" s="223" t="s">
        <v>224</v>
      </c>
      <c r="C4" s="222"/>
      <c r="D4" s="222"/>
      <c r="E4" s="222"/>
      <c r="F4" s="222"/>
      <c r="G4" s="222"/>
    </row>
    <row r="5" spans="2:7" ht="20" customHeight="1" x14ac:dyDescent="0.15">
      <c r="B5" s="188" t="s">
        <v>225</v>
      </c>
      <c r="C5" s="189">
        <f>$E$5-1%</f>
        <v>1.5000000000000001E-2</v>
      </c>
      <c r="D5" s="189">
        <f>$E$5-0.5%</f>
        <v>0.02</v>
      </c>
      <c r="E5" s="189">
        <f>'DCF Valuation'!$J$22</f>
        <v>2.5000000000000001E-2</v>
      </c>
      <c r="F5" s="189">
        <f>$E$5+0.5%</f>
        <v>3.0000000000000002E-2</v>
      </c>
      <c r="G5" s="189">
        <f>$E$5+1%</f>
        <v>3.5000000000000003E-2</v>
      </c>
    </row>
    <row r="6" spans="2:7" ht="20" customHeight="1" x14ac:dyDescent="0.15">
      <c r="B6" s="189">
        <f>$B$8-1%</f>
        <v>8.8210260860778988E-2</v>
      </c>
      <c r="C6" s="190">
        <f>IF($B6&lt;=C$5,"n/m",(SUMPRODUCT('DCF Valuation'!$C$27:$G$27,1/(1+$B6)^'DCF Valuation'!$C$26:$G$26)+('DCF Valuation'!$G$27*(1+C$5)/($B6-C$5))/(1+$B6)^'DCF Valuation'!$G$26+'DCF Valuation'!$C$54-'DCF Valuation'!$C$55)/'DCF Valuation'!$C$59)</f>
        <v>96.405285064381786</v>
      </c>
      <c r="D6" s="190">
        <f>IF($B6&lt;=D$5,"n/m",(SUMPRODUCT('DCF Valuation'!$C$27:$G$27,1/(1+$B6)^'DCF Valuation'!$C$26:$G$26)+('DCF Valuation'!$G$27*(1+D$5)/($B6-D$5))/(1+$B6)^'DCF Valuation'!$G$26+'DCF Valuation'!$C$54-'DCF Valuation'!$C$55)/'DCF Valuation'!$C$59)</f>
        <v>102.29521258391824</v>
      </c>
      <c r="E6" s="190">
        <f>IF($B6&lt;=E$5,"n/m",(SUMPRODUCT('DCF Valuation'!$C$27:$G$27,1/(1+$B6)^'DCF Valuation'!$C$26:$G$26)+('DCF Valuation'!$G$27*(1+E$5)/($B6-E$5))/(1+$B6)^'DCF Valuation'!$G$26+'DCF Valuation'!$C$54-'DCF Valuation'!$C$55)/'DCF Valuation'!$C$59)</f>
        <v>109.11693937770684</v>
      </c>
      <c r="F6" s="190">
        <f>IF($B6&lt;=F$5,"n/m",(SUMPRODUCT('DCF Valuation'!$C$27:$G$27,1/(1+$B6)^'DCF Valuation'!$C$26:$G$26)+('DCF Valuation'!$G$27*(1+F$5)/($B6-F$5))/(1+$B6)^'DCF Valuation'!$G$26+'DCF Valuation'!$C$54-'DCF Valuation'!$C$55)/'DCF Valuation'!$C$59)</f>
        <v>117.11057756527948</v>
      </c>
      <c r="G6" s="190">
        <f>IF($B6&lt;=G$5,"n/m",(SUMPRODUCT('DCF Valuation'!$C$27:$G$27,1/(1+$B6)^'DCF Valuation'!$C$26:$G$26)+('DCF Valuation'!$G$27*(1+G$5)/($B6-G$5))/(1+$B6)^'DCF Valuation'!$G$26+'DCF Valuation'!$C$54-'DCF Valuation'!$C$55)/'DCF Valuation'!$C$59)</f>
        <v>126.60648957340101</v>
      </c>
    </row>
    <row r="7" spans="2:7" ht="20" customHeight="1" x14ac:dyDescent="0.15">
      <c r="B7" s="189">
        <f>$B$8-0.5%</f>
        <v>9.3210260860778979E-2</v>
      </c>
      <c r="C7" s="190">
        <f>IF($B7&lt;=C$5,"n/m",(SUMPRODUCT('DCF Valuation'!$C$27:$G$27,1/(1+$B7)^'DCF Valuation'!$C$26:$G$26)+('DCF Valuation'!$G$27*(1+C$5)/($B7-C$5))/(1+$B7)^'DCF Valuation'!$G$26+'DCF Valuation'!$C$54-'DCF Valuation'!$C$55)/'DCF Valuation'!$C$59)</f>
        <v>89.762208576410941</v>
      </c>
      <c r="D7" s="190">
        <f>IF($B7&lt;=D$5,"n/m",(SUMPRODUCT('DCF Valuation'!$C$27:$G$27,1/(1+$B7)^'DCF Valuation'!$C$26:$G$26)+('DCF Valuation'!$G$27*(1+D$5)/($B7-D$5))/(1+$B7)^'DCF Valuation'!$G$26+'DCF Valuation'!$C$54-'DCF Valuation'!$C$55)/'DCF Valuation'!$C$59)</f>
        <v>94.805712878164044</v>
      </c>
      <c r="E7" s="190">
        <f>IF($B7&lt;=E$5,"n/m",(SUMPRODUCT('DCF Valuation'!$C$27:$G$27,1/(1+$B7)^'DCF Valuation'!$C$26:$G$26)+('DCF Valuation'!$G$27*(1+E$5)/($B7-E$5))/(1+$B7)^'DCF Valuation'!$G$26+'DCF Valuation'!$C$54-'DCF Valuation'!$C$55)/'DCF Valuation'!$C$59)</f>
        <v>100.58862269429383</v>
      </c>
      <c r="F7" s="190">
        <f>IF($B7&lt;=F$5,"n/m",(SUMPRODUCT('DCF Valuation'!$C$27:$G$27,1/(1+$B7)^'DCF Valuation'!$C$26:$G$26)+('DCF Valuation'!$G$27*(1+F$5)/($B7-F$5))/(1+$B7)^'DCF Valuation'!$G$26+'DCF Valuation'!$C$54-'DCF Valuation'!$C$55)/'DCF Valuation'!$C$59)</f>
        <v>107.28640135250394</v>
      </c>
      <c r="G7" s="190">
        <f>IF($B7&lt;=G$5,"n/m",(SUMPRODUCT('DCF Valuation'!$C$27:$G$27,1/(1+$B7)^'DCF Valuation'!$C$26:$G$26)+('DCF Valuation'!$G$27*(1+G$5)/($B7-G$5))/(1+$B7)^'DCF Valuation'!$G$26+'DCF Valuation'!$C$54-'DCF Valuation'!$C$55)/'DCF Valuation'!$C$59)</f>
        <v>115.13479822804678</v>
      </c>
    </row>
    <row r="8" spans="2:7" ht="20" customHeight="1" x14ac:dyDescent="0.15">
      <c r="B8" s="189">
        <f>'DCF Valuation'!$J$21</f>
        <v>9.8210260860778983E-2</v>
      </c>
      <c r="C8" s="190">
        <f>IF($B8&lt;=C$5,"n/m",(SUMPRODUCT('DCF Valuation'!$C$27:$G$27,1/(1+$B8)^'DCF Valuation'!$C$26:$G$26)+('DCF Valuation'!$G$27*(1+C$5)/($B8-C$5))/(1+$B8)^'DCF Valuation'!$G$26+'DCF Valuation'!$C$54-'DCF Valuation'!$C$55)/'DCF Valuation'!$C$59)</f>
        <v>83.932547661096947</v>
      </c>
      <c r="D8" s="190">
        <f>IF($B8&lt;=D$5,"n/m",(SUMPRODUCT('DCF Valuation'!$C$27:$G$27,1/(1+$B8)^'DCF Valuation'!$C$26:$G$26)+('DCF Valuation'!$G$27*(1+D$5)/($B8-D$5))/(1+$B8)^'DCF Valuation'!$G$26+'DCF Valuation'!$C$54-'DCF Valuation'!$C$55)/'DCF Valuation'!$C$59)</f>
        <v>88.289675227378567</v>
      </c>
      <c r="E8" s="191">
        <f>IF($B8&lt;=E$5,"n/m",(SUMPRODUCT('DCF Valuation'!$C$27:$G$27,1/(1+$B8)^'DCF Valuation'!$C$26:$G$26)+('DCF Valuation'!$G$27*(1+E$5)/($B8-E$5))/(1+$B8)^'DCF Valuation'!$G$26+'DCF Valuation'!$C$54-'DCF Valuation'!$C$55)/'DCF Valuation'!$C$59)</f>
        <v>93.241955374057014</v>
      </c>
      <c r="F8" s="190">
        <f>IF($B8&lt;=F$5,"n/m",(SUMPRODUCT('DCF Valuation'!$C$27:$G$27,1/(1+$B8)^'DCF Valuation'!$C$26:$G$26)+('DCF Valuation'!$G$27*(1+F$5)/($B8-F$5))/(1+$B8)^'DCF Valuation'!$G$26+'DCF Valuation'!$C$54-'DCF Valuation'!$C$55)/'DCF Valuation'!$C$59)</f>
        <v>98.92026707144106</v>
      </c>
      <c r="G8" s="190">
        <f>IF($B8&lt;=G$5,"n/m",(SUMPRODUCT('DCF Valuation'!$C$27:$G$27,1/(1+$B8)^'DCF Valuation'!$C$26:$G$26)+('DCF Valuation'!$G$27*(1+G$5)/($B8-G$5))/(1+$B8)^'DCF Valuation'!$G$26+'DCF Valuation'!$C$54-'DCF Valuation'!$C$55)/'DCF Valuation'!$C$59)</f>
        <v>105.49689996226085</v>
      </c>
    </row>
    <row r="9" spans="2:7" ht="20" customHeight="1" x14ac:dyDescent="0.15">
      <c r="B9" s="189">
        <f>$B$8+0.5%</f>
        <v>0.10321026086077899</v>
      </c>
      <c r="C9" s="190">
        <f>IF($B9&lt;=C$5,"n/m",(SUMPRODUCT('DCF Valuation'!$C$27:$G$27,1/(1+$B9)^'DCF Valuation'!$C$26:$G$26)+('DCF Valuation'!$G$27*(1+C$5)/($B9-C$5))/(1+$B9)^'DCF Valuation'!$G$26+'DCF Valuation'!$C$54-'DCF Valuation'!$C$55)/'DCF Valuation'!$C$59)</f>
        <v>78.777649543903109</v>
      </c>
      <c r="D9" s="190">
        <f>IF($B9&lt;=D$5,"n/m",(SUMPRODUCT('DCF Valuation'!$C$27:$G$27,1/(1+$B9)^'DCF Valuation'!$C$26:$G$26)+('DCF Valuation'!$G$27*(1+D$5)/($B9-D$5))/(1+$B9)^'DCF Valuation'!$G$26+'DCF Valuation'!$C$54-'DCF Valuation'!$C$55)/'DCF Valuation'!$C$59)</f>
        <v>82.571268630133474</v>
      </c>
      <c r="E9" s="190">
        <f>IF($B9&lt;=E$5,"n/m",(SUMPRODUCT('DCF Valuation'!$C$27:$G$27,1/(1+$B9)^'DCF Valuation'!$C$26:$G$26)+('DCF Valuation'!$G$27*(1+E$5)/($B9-E$5))/(1+$B9)^'DCF Valuation'!$G$26+'DCF Valuation'!$C$54-'DCF Valuation'!$C$55)/'DCF Valuation'!$C$59)</f>
        <v>86.849941601170997</v>
      </c>
      <c r="F9" s="190">
        <f>IF($B9&lt;=F$5,"n/m",(SUMPRODUCT('DCF Valuation'!$C$27:$G$27,1/(1+$B9)^'DCF Valuation'!$C$26:$G$26)+('DCF Valuation'!$G$27*(1+F$5)/($B9-F$5))/(1+$B9)^'DCF Valuation'!$G$26+'DCF Valuation'!$C$54-'DCF Valuation'!$C$55)/'DCF Valuation'!$C$59)</f>
        <v>91.713050813895222</v>
      </c>
      <c r="G9" s="190">
        <f>IF($B9&lt;=G$5,"n/m",(SUMPRODUCT('DCF Valuation'!$C$27:$G$27,1/(1+$B9)^'DCF Valuation'!$C$26:$G$26)+('DCF Valuation'!$G$27*(1+G$5)/($B9-G$5))/(1+$B9)^'DCF Valuation'!$G$26+'DCF Valuation'!$C$54-'DCF Valuation'!$C$55)/'DCF Valuation'!$C$59)</f>
        <v>97.289118627181011</v>
      </c>
    </row>
    <row r="10" spans="2:7" ht="20" customHeight="1" x14ac:dyDescent="0.15">
      <c r="B10" s="189">
        <f>$B$8+1%</f>
        <v>0.10821026086077898</v>
      </c>
      <c r="C10" s="190">
        <f>IF($B10&lt;=C$5,"n/m",(SUMPRODUCT('DCF Valuation'!$C$27:$G$27,1/(1+$B10)^'DCF Valuation'!$C$26:$G$26)+('DCF Valuation'!$G$27*(1+C$5)/($B10-C$5))/(1+$B10)^'DCF Valuation'!$G$26+'DCF Valuation'!$C$54-'DCF Valuation'!$C$55)/'DCF Valuation'!$C$59)</f>
        <v>74.188620972682898</v>
      </c>
      <c r="D10" s="190">
        <f>IF($B10&lt;=D$5,"n/m",(SUMPRODUCT('DCF Valuation'!$C$27:$G$27,1/(1+$B10)^'DCF Valuation'!$C$26:$G$26)+('DCF Valuation'!$G$27*(1+D$5)/($B10-D$5))/(1+$B10)^'DCF Valuation'!$G$26+'DCF Valuation'!$C$54-'DCF Valuation'!$C$55)/'DCF Valuation'!$C$59)</f>
        <v>77.514537796859429</v>
      </c>
      <c r="E10" s="190">
        <f>IF($B10&lt;=E$5,"n/m",(SUMPRODUCT('DCF Valuation'!$C$27:$G$27,1/(1+$B10)^'DCF Valuation'!$C$26:$G$26)+('DCF Valuation'!$G$27*(1+E$5)/($B10-E$5))/(1+$B10)^'DCF Valuation'!$G$26+'DCF Valuation'!$C$54-'DCF Valuation'!$C$55)/'DCF Valuation'!$C$59)</f>
        <v>81.240154945223267</v>
      </c>
      <c r="F10" s="190">
        <f>IF($B10&lt;=F$5,"n/m",(SUMPRODUCT('DCF Valuation'!$C$27:$G$27,1/(1+$B10)^'DCF Valuation'!$C$26:$G$26)+('DCF Valuation'!$G$27*(1+F$5)/($B10-F$5))/(1+$B10)^'DCF Valuation'!$G$26+'DCF Valuation'!$C$54-'DCF Valuation'!$C$55)/'DCF Valuation'!$C$59)</f>
        <v>85.442131219277272</v>
      </c>
      <c r="G10" s="190">
        <f>IF($B10&lt;=G$5,"n/m",(SUMPRODUCT('DCF Valuation'!$C$27:$G$27,1/(1+$B10)^'DCF Valuation'!$C$26:$G$26)+('DCF Valuation'!$G$27*(1+G$5)/($B10-G$5))/(1+$B10)^'DCF Valuation'!$G$26+'DCF Valuation'!$C$54-'DCF Valuation'!$C$55)/'DCF Valuation'!$C$59)</f>
        <v>90.218067512684939</v>
      </c>
    </row>
    <row r="11" spans="2:7" ht="20" customHeight="1" x14ac:dyDescent="0.15"/>
    <row r="12" spans="2:7" ht="20" customHeight="1" x14ac:dyDescent="0.15"/>
    <row r="13" spans="2:7" x14ac:dyDescent="0.15">
      <c r="B13" s="223" t="s">
        <v>226</v>
      </c>
      <c r="C13" s="223"/>
    </row>
    <row r="14" spans="2:7" ht="20" customHeight="1" x14ac:dyDescent="0.15">
      <c r="B14" s="192" t="s">
        <v>198</v>
      </c>
      <c r="C14" s="194">
        <f>'DCF Valuation'!$J$21</f>
        <v>9.8210260860778983E-2</v>
      </c>
    </row>
    <row r="15" spans="2:7" ht="20" customHeight="1" x14ac:dyDescent="0.15">
      <c r="B15" s="192" t="s">
        <v>200</v>
      </c>
      <c r="C15" s="194">
        <f>'DCF Valuation'!$J$22</f>
        <v>2.5000000000000001E-2</v>
      </c>
    </row>
    <row r="16" spans="2:7" ht="20" customHeight="1" x14ac:dyDescent="0.15">
      <c r="B16" s="192" t="s">
        <v>227</v>
      </c>
      <c r="C16" s="195">
        <f>'DCF Valuation'!$J$26</f>
        <v>93.241955374057028</v>
      </c>
    </row>
    <row r="17" spans="2:3" ht="20" customHeight="1" x14ac:dyDescent="0.15">
      <c r="B17" s="192" t="s">
        <v>222</v>
      </c>
      <c r="C17" s="195">
        <f>'DCF Valuation'!$J$27</f>
        <v>320.20999999999998</v>
      </c>
    </row>
    <row r="18" spans="2:3" ht="20" customHeight="1" x14ac:dyDescent="0.15">
      <c r="B18" s="192" t="s">
        <v>228</v>
      </c>
      <c r="C18" s="193">
        <f>'DCF Valuation'!$J$28</f>
        <v>-0.70880998290479047</v>
      </c>
    </row>
  </sheetData>
  <conditionalFormatting sqref="C6:G10">
    <cfRule type="colorScale" priority="1">
      <colorScale>
        <cfvo type="min"/>
        <cfvo type="percentile" val="50"/>
        <cfvo type="max"/>
        <color rgb="FFF4CCCC"/>
        <color rgb="FFFFF2CC"/>
        <color rgb="FFD9EAD3"/>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Cover</vt:lpstr>
      <vt:lpstr>Assumptions</vt:lpstr>
      <vt:lpstr>Income Statement</vt:lpstr>
      <vt:lpstr>Balance Sheet</vt:lpstr>
      <vt:lpstr>Cash Flow Statement</vt:lpstr>
      <vt:lpstr>Supporting Schedules</vt:lpstr>
      <vt:lpstr>DCF Valuation</vt:lpstr>
      <vt:lpstr>Sensitivity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 Rai</dc:creator>
  <cp:lastModifiedBy>Adabra, Nathan</cp:lastModifiedBy>
  <dcterms:created xsi:type="dcterms:W3CDTF">2026-08-18T20:06:18Z</dcterms:created>
  <dcterms:modified xsi:type="dcterms:W3CDTF">2026-10-26T17:05:58Z</dcterms:modified>
</cp:coreProperties>
</file>